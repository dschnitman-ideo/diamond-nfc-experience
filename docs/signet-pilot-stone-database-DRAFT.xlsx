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ones" sheetId="2" state="visible" r:id="rId2"/>
    <sheet xmlns:r="http://schemas.openxmlformats.org/officeDocument/2006/relationships" name="Custody Chain" sheetId="3" state="visible" r:id="rId3"/>
    <sheet xmlns:r="http://schemas.openxmlformats.org/officeDocument/2006/relationships" name="Photos" sheetId="4" state="visible" r:id="rId4"/>
    <sheet xmlns:r="http://schemas.openxmlformats.org/officeDocument/2006/relationships" name="Field Guide" sheetId="5" state="visible" r:id="rId5"/>
    <sheet xmlns:r="http://schemas.openxmlformats.org/officeDocument/2006/relationships" name="Lists"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9"/>
    </font>
    <font>
      <name val="Arial"/>
      <b val="1"/>
      <color rgb="00FFFFFF"/>
      <sz val="10"/>
    </font>
    <font>
      <name val="Arial"/>
      <i val="1"/>
      <color rgb="00666666"/>
      <sz val="9"/>
    </font>
    <font>
      <name val="Arial"/>
      <sz val="10"/>
    </font>
    <font>
      <name val="Arial"/>
      <b val="1"/>
      <sz val="10"/>
    </font>
    <font>
      <name val="Arial"/>
      <b val="1"/>
      <sz val="16"/>
    </font>
    <font>
      <name val="Arial"/>
      <i val="1"/>
      <color rgb="00555555"/>
      <sz val="11"/>
    </font>
    <font>
      <name val="Arial"/>
      <b val="1"/>
      <sz val="12"/>
    </font>
    <font>
      <name val="Arial"/>
      <color rgb="009C2A00"/>
      <sz val="10"/>
    </font>
  </fonts>
  <fills count="11">
    <fill>
      <patternFill/>
    </fill>
    <fill>
      <patternFill patternType="gray125"/>
    </fill>
    <fill>
      <patternFill patternType="solid">
        <fgColor rgb="006B6E5E"/>
      </patternFill>
    </fill>
    <fill>
      <patternFill patternType="solid">
        <fgColor rgb="004A6A8A"/>
      </patternFill>
    </fill>
    <fill>
      <patternFill patternType="solid">
        <fgColor rgb="003F5F7F"/>
      </patternFill>
    </fill>
    <fill>
      <patternFill patternType="solid">
        <fgColor rgb="006A5A3A"/>
      </patternFill>
    </fill>
    <fill>
      <patternFill patternType="solid">
        <fgColor rgb="005A4A6A"/>
      </patternFill>
    </fill>
    <fill>
      <patternFill patternType="solid">
        <fgColor rgb="00555555"/>
      </patternFill>
    </fill>
    <fill>
      <patternFill patternType="solid">
        <fgColor rgb="002B2A24"/>
      </patternFill>
    </fill>
    <fill>
      <patternFill patternType="solid">
        <fgColor rgb="00FFF8DC"/>
      </patternFill>
    </fill>
    <fill>
      <patternFill patternType="solid">
        <fgColor rgb="00EEEE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8" fillId="0" borderId="0" applyAlignment="1" pivotButton="0" quotePrefix="0" xfId="0">
      <alignment vertical="top" wrapText="1"/>
    </xf>
    <xf numFmtId="0" fontId="4" fillId="9" borderId="0" applyAlignment="1" pivotButton="0" quotePrefix="0" xfId="0">
      <alignment vertical="top" wrapText="1"/>
    </xf>
    <xf numFmtId="0" fontId="4" fillId="10" borderId="0" applyAlignment="1" pivotButton="0" quotePrefix="0" xfId="0">
      <alignment vertical="top" wrapText="1"/>
    </xf>
    <xf numFmtId="0" fontId="9" fillId="0" borderId="0" applyAlignment="1" pivotButton="0" quotePrefix="0" xfId="0">
      <alignment vertical="top" wrapText="1"/>
    </xf>
    <xf numFmtId="0" fontId="1" fillId="2" borderId="0" applyAlignment="1" pivotButton="0" quotePrefix="0" xfId="0">
      <alignment horizontal="left" vertical="center" indent="1"/>
    </xf>
    <xf numFmtId="0" fontId="0" fillId="2" borderId="0" pivotButton="0" quotePrefix="0" xfId="0"/>
    <xf numFmtId="0" fontId="1" fillId="3" borderId="0" applyAlignment="1" pivotButton="0" quotePrefix="0" xfId="0">
      <alignment horizontal="left" vertical="center" indent="1"/>
    </xf>
    <xf numFmtId="0" fontId="0" fillId="3" borderId="0" pivotButton="0" quotePrefix="0" xfId="0"/>
    <xf numFmtId="0" fontId="1" fillId="4" borderId="0" applyAlignment="1" pivotButton="0" quotePrefix="0" xfId="0">
      <alignment horizontal="left" vertical="center" indent="1"/>
    </xf>
    <xf numFmtId="0" fontId="0" fillId="4" borderId="0" pivotButton="0" quotePrefix="0" xfId="0"/>
    <xf numFmtId="0" fontId="1" fillId="5" borderId="0" applyAlignment="1" pivotButton="0" quotePrefix="0" xfId="0">
      <alignment horizontal="left" vertical="center" indent="1"/>
    </xf>
    <xf numFmtId="0" fontId="0" fillId="5" borderId="0" pivotButton="0" quotePrefix="0" xfId="0"/>
    <xf numFmtId="0" fontId="1" fillId="6" borderId="0" applyAlignment="1" pivotButton="0" quotePrefix="0" xfId="0">
      <alignment horizontal="left" vertical="center" indent="1"/>
    </xf>
    <xf numFmtId="0" fontId="0" fillId="6" borderId="0" pivotButton="0" quotePrefix="0" xfId="0"/>
    <xf numFmtId="0" fontId="1" fillId="7" borderId="0" applyAlignment="1" pivotButton="0" quotePrefix="0" xfId="0">
      <alignment horizontal="left" vertical="center" indent="1"/>
    </xf>
    <xf numFmtId="0" fontId="0" fillId="7" borderId="0" pivotButton="0" quotePrefix="0" xfId="0"/>
    <xf numFmtId="0" fontId="2" fillId="8" borderId="0" applyAlignment="1" pivotButton="0" quotePrefix="0" xfId="0">
      <alignment vertical="center" wrapText="1"/>
    </xf>
    <xf numFmtId="0" fontId="3" fillId="0" borderId="0" applyAlignment="1" pivotButton="0" quotePrefix="0" xfId="0">
      <alignment vertical="top" wrapText="1"/>
    </xf>
    <xf numFmtId="49" fontId="4" fillId="9" borderId="1" applyAlignment="1" pivotButton="0" quotePrefix="0" xfId="0">
      <alignment vertical="top"/>
    </xf>
    <xf numFmtId="0" fontId="4" fillId="10" borderId="1" applyAlignment="1" pivotButton="0" quotePrefix="0" xfId="0">
      <alignment vertical="top"/>
    </xf>
    <xf numFmtId="0" fontId="4" fillId="9" borderId="1" applyAlignment="1" pivotButton="0" quotePrefix="0" xfId="0">
      <alignment vertical="top"/>
    </xf>
    <xf numFmtId="2" fontId="4" fillId="9" borderId="1" applyAlignment="1" pivotButton="0" quotePrefix="0" xfId="0">
      <alignment vertical="top"/>
    </xf>
    <xf numFmtId="164" fontId="4" fillId="9" borderId="1" applyAlignment="1" pivotButton="0" quotePrefix="0" xfId="0">
      <alignment vertical="top"/>
    </xf>
    <xf numFmtId="0" fontId="4" fillId="9" borderId="1" applyAlignment="1" pivotButton="0" quotePrefix="0" xfId="0">
      <alignment vertical="top" wrapText="1"/>
    </xf>
    <xf numFmtId="3" fontId="4" fillId="9" borderId="1" applyAlignment="1" pivotButton="0" quotePrefix="0" xfId="0">
      <alignment vertical="top"/>
    </xf>
    <xf numFmtId="0" fontId="2" fillId="8" borderId="0" pivotButton="0" quotePrefix="0" xfId="0"/>
    <xf numFmtId="49" fontId="4" fillId="9" borderId="1" pivotButton="0" quotePrefix="0" xfId="0"/>
    <xf numFmtId="0" fontId="4" fillId="9" borderId="1"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Draft</author>
  </authors>
  <commentList>
    <comment ref="D4" authorId="0" shapeId="0">
      <text>
        <t>Row 001 is the worked example. Rows 001–005 carry the prototype's MOCK data (made-up GIA/Tracr numbers) — replace with real report values.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5"/>
  <sheetViews>
    <sheetView showGridLines="0" workbookViewId="0">
      <selection activeCell="A1" sqref="A1"/>
    </sheetView>
  </sheetViews>
  <sheetFormatPr baseColWidth="8" defaultRowHeight="15"/>
  <cols>
    <col width="3" customWidth="1" min="1" max="1"/>
    <col width="110" customWidth="1" min="2" max="2"/>
  </cols>
  <sheetData>
    <row r="2">
      <c r="B2" s="1" t="inlineStr">
        <is>
          <t>Signet pilot — stone database (DRAFT)</t>
        </is>
      </c>
    </row>
    <row r="3">
      <c r="B3" s="2" t="inlineStr">
        <is>
          <t>One place for every fact the NFC diamond experience shows. The site reads this sheet; nobody edits the code to add a stone.</t>
        </is>
      </c>
    </row>
    <row r="4">
      <c r="B4" s="3" t="inlineStr"/>
    </row>
    <row r="5">
      <c r="B5" s="4" t="inlineStr">
        <is>
          <t>How to use it</t>
        </is>
      </c>
    </row>
    <row r="6">
      <c r="B6" s="3" t="inlineStr">
        <is>
          <t>1.  Stones tab: one row per stone. Fill in every column marked *. Row 001 is the worked example.</t>
        </is>
      </c>
    </row>
    <row r="7">
      <c r="B7" s="3" t="inlineStr">
        <is>
          <t>2.  Custody Chain tab: one row per step of the stone's journey (from Tracr).</t>
        </is>
      </c>
    </row>
    <row r="8">
      <c r="B8" s="3" t="inlineStr">
        <is>
          <t>3.  Photos tab: one row per image; put the files in the shared Drive folder under a folder named for the Stone ID.</t>
        </is>
      </c>
    </row>
    <row r="9">
      <c r="B9" s="3" t="inlineStr">
        <is>
          <t>4.  Watch the Readiness column on Stones. When it says Complete, set Publish status to 'Ready to publish'.</t>
        </is>
      </c>
    </row>
    <row r="10">
      <c r="B10" s="3" t="inlineStr"/>
    </row>
    <row r="11">
      <c r="B11" s="4" t="inlineStr">
        <is>
          <t>Legend</t>
        </is>
      </c>
    </row>
    <row r="12">
      <c r="B12" s="5" t="inlineStr">
        <is>
          <t>Cream cells: fill these in.</t>
        </is>
      </c>
    </row>
    <row r="13">
      <c r="B13" s="6" t="inlineStr">
        <is>
          <t>Grey cells: formulas. Don't edit them.</t>
        </is>
      </c>
    </row>
    <row r="14">
      <c r="B14" s="3" t="inlineStr">
        <is>
          <t>*  Required field. Dropdowns come from the Lists tab, so values match exactly what the site expects.</t>
        </is>
      </c>
    </row>
    <row r="15">
      <c r="B15" s="3" t="inlineStr"/>
    </row>
    <row r="16">
      <c r="B16" s="4" t="inlineStr">
        <is>
          <t>Where each piece of data comes from</t>
        </is>
      </c>
    </row>
    <row r="17">
      <c r="B17" s="3" t="inlineStr">
        <is>
          <t>GIA report: 4Cs, polish, symmetry, fluorescence, measurements, table/depth, clarity characteristics, report number and date.</t>
        </is>
      </c>
    </row>
    <row r="18">
      <c r="B18" s="3" t="inlineStr">
        <is>
          <t>Tracr: Tracr ID and status, mine and country, rough carat, custody chain (steps, locations, dates).</t>
        </is>
      </c>
    </row>
    <row r="19">
      <c r="B19" s="3" t="inlineStr">
        <is>
          <t>Copywriter: description, sourcing paragraphs and formation figures. Written once per mine and reused for every stone from that mine.</t>
        </is>
      </c>
    </row>
    <row r="20">
      <c r="B20" s="3" t="inlineStr">
        <is>
          <t>GIA photography: three zoom levels per stone (full view, girdle close-up, laser inscription) plus a thumbnail.</t>
        </is>
      </c>
    </row>
    <row r="21">
      <c r="B21" s="3" t="inlineStr"/>
    </row>
    <row r="22">
      <c r="B22" s="4" t="inlineStr">
        <is>
          <t>Before this goes live</t>
        </is>
      </c>
    </row>
    <row r="23">
      <c r="B23" s="7" t="inlineStr">
        <is>
          <t>Rows 001–005 hold the prototype's MOCK data: the GIA numbers, Tracr IDs and custody dates are made up. Replace them with real report values.</t>
        </is>
      </c>
    </row>
    <row r="24">
      <c r="B24" s="7" t="inlineStr">
        <is>
          <t>Only 001 and 002 have real photography.</t>
        </is>
      </c>
    </row>
    <row r="25">
      <c r="B25" s="3" t="inlineStr">
        <is>
          <t>The GIA report link column assumes GIA Report Check's public lookup URL. Confirm the exact link format with GIA.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16" customWidth="1" min="3" max="3"/>
    <col width="18" customWidth="1" min="4" max="4"/>
    <col width="16" customWidth="1" min="5" max="5"/>
    <col width="9" customWidth="1" min="6" max="6"/>
    <col width="12" customWidth="1" min="7" max="7"/>
    <col width="9" customWidth="1" min="8" max="8"/>
    <col width="9" customWidth="1" min="9" max="9"/>
    <col width="24" customWidth="1" min="10" max="10"/>
    <col width="12" customWidth="1" min="11" max="11"/>
    <col width="12" customWidth="1" min="12" max="12"/>
    <col width="13" customWidth="1" min="13" max="13"/>
    <col width="20" customWidth="1" min="14" max="14"/>
    <col width="9" customWidth="1" min="15" max="15"/>
    <col width="9" customWidth="1" min="16" max="16"/>
    <col width="50" customWidth="1" min="17" max="17"/>
    <col width="16" customWidth="1" min="18" max="18"/>
    <col width="14" customWidth="1" min="19" max="19"/>
    <col width="13" customWidth="1" min="20" max="20"/>
    <col width="44" customWidth="1" min="21" max="21"/>
    <col width="22" customWidth="1" min="22" max="22"/>
    <col width="18" customWidth="1" min="23" max="23"/>
    <col width="18" customWidth="1" min="24" max="24"/>
    <col width="14" customWidth="1" min="25" max="25"/>
    <col width="11" customWidth="1" min="26" max="26"/>
    <col width="12" customWidth="1" min="27" max="27"/>
    <col width="12" customWidth="1" min="28" max="28"/>
    <col width="12" customWidth="1" min="29" max="29"/>
    <col width="13" customWidth="1" min="30" max="30"/>
    <col width="50" customWidth="1" min="31" max="31"/>
    <col width="50" customWidth="1" min="32" max="32"/>
    <col width="11" customWidth="1" min="33" max="33"/>
    <col width="9" customWidth="1" min="34" max="34"/>
    <col width="22" customWidth="1" min="35" max="35"/>
  </cols>
  <sheetData>
    <row r="1">
      <c r="A1" s="8" t="inlineStr">
        <is>
          <t>IDENTITY</t>
        </is>
      </c>
      <c r="B1" s="9" t="n"/>
      <c r="C1" s="9" t="n"/>
      <c r="D1" s="10" t="inlineStr">
        <is>
          <t>PRODUCT (GIA REPORT)</t>
        </is>
      </c>
      <c r="E1" s="11" t="n"/>
      <c r="F1" s="11" t="n"/>
      <c r="G1" s="11" t="n"/>
      <c r="H1" s="11" t="n"/>
      <c r="I1" s="11" t="n"/>
      <c r="J1" s="11" t="n"/>
      <c r="K1" s="11" t="n"/>
      <c r="L1" s="11" t="n"/>
      <c r="M1" s="11" t="n"/>
      <c r="N1" s="11" t="n"/>
      <c r="O1" s="11" t="n"/>
      <c r="P1" s="11" t="n"/>
      <c r="Q1" s="11" t="n"/>
      <c r="R1" s="12" t="inlineStr">
        <is>
          <t>GIA REPORT</t>
        </is>
      </c>
      <c r="S1" s="13" t="n"/>
      <c r="T1" s="13" t="n"/>
      <c r="U1" s="13" t="n"/>
      <c r="V1" s="14" t="inlineStr">
        <is>
          <t>TRACR PROVENANCE</t>
        </is>
      </c>
      <c r="W1" s="15" t="n"/>
      <c r="X1" s="15" t="n"/>
      <c r="Y1" s="15" t="n"/>
      <c r="Z1" s="15" t="n"/>
      <c r="AA1" s="16" t="inlineStr">
        <is>
          <t>STORY COPY</t>
        </is>
      </c>
      <c r="AB1" s="17" t="n"/>
      <c r="AC1" s="17" t="n"/>
      <c r="AD1" s="17" t="n"/>
      <c r="AE1" s="17" t="n"/>
      <c r="AF1" s="17" t="n"/>
      <c r="AG1" s="18" t="inlineStr">
        <is>
          <t>CHECK</t>
        </is>
      </c>
      <c r="AH1" s="19" t="n"/>
      <c r="AI1" s="19" t="n"/>
    </row>
    <row r="2" ht="30" customHeight="1">
      <c r="A2" s="20" t="inlineStr">
        <is>
          <t>Stone ID *</t>
        </is>
      </c>
      <c r="B2" s="20" t="inlineStr">
        <is>
          <t>NFC tag URL</t>
        </is>
      </c>
      <c r="C2" s="20" t="inlineStr">
        <is>
          <t>Publish status *</t>
        </is>
      </c>
      <c r="D2" s="20" t="inlineStr">
        <is>
          <t>Display name</t>
        </is>
      </c>
      <c r="E2" s="20" t="inlineStr">
        <is>
          <t>Shape *</t>
        </is>
      </c>
      <c r="F2" s="20" t="inlineStr">
        <is>
          <t>Carat *</t>
        </is>
      </c>
      <c r="G2" s="20" t="inlineStr">
        <is>
          <t>Cut *</t>
        </is>
      </c>
      <c r="H2" s="20" t="inlineStr">
        <is>
          <t>Colour *</t>
        </is>
      </c>
      <c r="I2" s="20" t="inlineStr">
        <is>
          <t>Clarity *</t>
        </is>
      </c>
      <c r="J2" s="20" t="inlineStr">
        <is>
          <t>Clarity characteristics</t>
        </is>
      </c>
      <c r="K2" s="20" t="inlineStr">
        <is>
          <t>Polish</t>
        </is>
      </c>
      <c r="L2" s="20" t="inlineStr">
        <is>
          <t>Symmetry</t>
        </is>
      </c>
      <c r="M2" s="20" t="inlineStr">
        <is>
          <t>Fluorescence</t>
        </is>
      </c>
      <c r="N2" s="20" t="inlineStr">
        <is>
          <t>Measurements (mm)</t>
        </is>
      </c>
      <c r="O2" s="20" t="inlineStr">
        <is>
          <t>Table %</t>
        </is>
      </c>
      <c r="P2" s="20" t="inlineStr">
        <is>
          <t>Depth %</t>
        </is>
      </c>
      <c r="Q2" s="20" t="inlineStr">
        <is>
          <t>Description</t>
        </is>
      </c>
      <c r="R2" s="20" t="inlineStr">
        <is>
          <t>GIA report number *</t>
        </is>
      </c>
      <c r="S2" s="20" t="inlineStr">
        <is>
          <t>GIA report date *</t>
        </is>
      </c>
      <c r="T2" s="20" t="inlineStr">
        <is>
          <t>GIA status *</t>
        </is>
      </c>
      <c r="U2" s="20" t="inlineStr">
        <is>
          <t>GIA report link</t>
        </is>
      </c>
      <c r="V2" s="20" t="inlineStr">
        <is>
          <t>Tracr ID *</t>
        </is>
      </c>
      <c r="W2" s="20" t="inlineStr">
        <is>
          <t>Tracr status *</t>
        </is>
      </c>
      <c r="X2" s="20" t="inlineStr">
        <is>
          <t>Mine *</t>
        </is>
      </c>
      <c r="Y2" s="20" t="inlineStr">
        <is>
          <t>Country *</t>
        </is>
      </c>
      <c r="Z2" s="20" t="inlineStr">
        <is>
          <t>Rough carat</t>
        </is>
      </c>
      <c r="AA2" s="20" t="inlineStr">
        <is>
          <t>Formation age (bn yrs)</t>
        </is>
      </c>
      <c r="AB2" s="20" t="inlineStr">
        <is>
          <t>Formation depth (km)</t>
        </is>
      </c>
      <c r="AC2" s="20" t="inlineStr">
        <is>
          <t>Formation temp (°C)</t>
        </is>
      </c>
      <c r="AD2" s="20" t="inlineStr">
        <is>
          <t>Formation pressure (atm)</t>
        </is>
      </c>
      <c r="AE2" s="20" t="inlineStr">
        <is>
          <t>Source paragraph 1</t>
        </is>
      </c>
      <c r="AF2" s="20" t="inlineStr">
        <is>
          <t>Source paragraph 2</t>
        </is>
      </c>
      <c r="AG2" s="20" t="inlineStr">
        <is>
          <t>Custody steps</t>
        </is>
      </c>
      <c r="AH2" s="20" t="inlineStr">
        <is>
          <t>Photos</t>
        </is>
      </c>
      <c r="AI2" s="20" t="inlineStr">
        <is>
          <t>Readiness</t>
        </is>
      </c>
    </row>
    <row r="3" ht="26" customHeight="1">
      <c r="A3" s="21" t="inlineStr">
        <is>
          <t>Printed on NFC tag</t>
        </is>
      </c>
      <c r="B3" s="21" t="inlineStr">
        <is>
          <t>Auto — write this to the tag</t>
        </is>
      </c>
      <c r="C3" s="21" t="inlineStr">
        <is>
          <t>Team</t>
        </is>
      </c>
      <c r="D3" s="21" t="inlineStr">
        <is>
          <t>Signet / team (optional)</t>
        </is>
      </c>
      <c r="E3" s="21" t="inlineStr">
        <is>
          <t>GIA report</t>
        </is>
      </c>
      <c r="F3" s="21" t="inlineStr">
        <is>
          <t>GIA report</t>
        </is>
      </c>
      <c r="G3" s="21" t="inlineStr">
        <is>
          <t>GIA report</t>
        </is>
      </c>
      <c r="H3" s="21" t="inlineStr">
        <is>
          <t>GIA report</t>
        </is>
      </c>
      <c r="I3" s="21" t="inlineStr">
        <is>
          <t>GIA report</t>
        </is>
      </c>
      <c r="J3" s="21" t="inlineStr">
        <is>
          <t>GIA report (comma-separated)</t>
        </is>
      </c>
      <c r="K3" s="21" t="inlineStr">
        <is>
          <t>GIA report</t>
        </is>
      </c>
      <c r="L3" s="21" t="inlineStr">
        <is>
          <t>GIA report</t>
        </is>
      </c>
      <c r="M3" s="21" t="inlineStr">
        <is>
          <t>GIA report</t>
        </is>
      </c>
      <c r="N3" s="21" t="inlineStr">
        <is>
          <t>GIA report</t>
        </is>
      </c>
      <c r="O3" s="21" t="inlineStr">
        <is>
          <t>GIA report</t>
        </is>
      </c>
      <c r="P3" s="21" t="inlineStr">
        <is>
          <t>GIA report</t>
        </is>
      </c>
      <c r="Q3" s="21" t="inlineStr">
        <is>
          <t>Copywriter</t>
        </is>
      </c>
      <c r="R3" s="21" t="inlineStr">
        <is>
          <t>GIA report</t>
        </is>
      </c>
      <c r="S3" s="21" t="inlineStr">
        <is>
          <t>GIA report</t>
        </is>
      </c>
      <c r="T3" s="21" t="inlineStr">
        <is>
          <t>GIA</t>
        </is>
      </c>
      <c r="U3" s="21" t="inlineStr">
        <is>
          <t>Auto — GIA Report Check</t>
        </is>
      </c>
      <c r="V3" s="21" t="inlineStr">
        <is>
          <t>Tracr</t>
        </is>
      </c>
      <c r="W3" s="21" t="inlineStr">
        <is>
          <t>Tracr</t>
        </is>
      </c>
      <c r="X3" s="21" t="inlineStr">
        <is>
          <t>Tracr</t>
        </is>
      </c>
      <c r="Y3" s="21" t="inlineStr">
        <is>
          <t>Tracr</t>
        </is>
      </c>
      <c r="Z3" s="21" t="inlineStr">
        <is>
          <t>Tracr</t>
        </is>
      </c>
      <c r="AA3" s="21" t="inlineStr">
        <is>
          <t>Mine geology — copywriter</t>
        </is>
      </c>
      <c r="AB3" s="21" t="inlineStr">
        <is>
          <t>Mine geology — copywriter</t>
        </is>
      </c>
      <c r="AC3" s="21" t="inlineStr">
        <is>
          <t>Mine geology — copywriter</t>
        </is>
      </c>
      <c r="AD3" s="21" t="inlineStr">
        <is>
          <t>Mine geology — copywriter</t>
        </is>
      </c>
      <c r="AE3" s="21" t="inlineStr">
        <is>
          <t>Copywriter (per mine)</t>
        </is>
      </c>
      <c r="AF3" s="21" t="inlineStr">
        <is>
          <t>Copywriter (per mine)</t>
        </is>
      </c>
      <c r="AG3" s="21" t="inlineStr">
        <is>
          <t>Auto — from Custody Chain tab</t>
        </is>
      </c>
      <c r="AH3" s="21" t="inlineStr">
        <is>
          <t>Auto — from Photos tab</t>
        </is>
      </c>
      <c r="AI3" s="21" t="inlineStr">
        <is>
          <t>Auto</t>
        </is>
      </c>
    </row>
    <row r="4" ht="60" customHeight="1">
      <c r="A4" s="22" t="inlineStr">
        <is>
          <t>001</t>
        </is>
      </c>
      <c r="B4" s="23">
        <f>IF(A4="","","https://diamond-nfc-experience.vercel.app/diamond/"&amp;A4)</f>
        <v/>
      </c>
      <c r="C4" s="24" t="inlineStr">
        <is>
          <t>Draft</t>
        </is>
      </c>
      <c r="D4" s="24" t="inlineStr">
        <is>
          <t>The Meridian</t>
        </is>
      </c>
      <c r="E4" s="24" t="inlineStr">
        <is>
          <t>Round Brilliant</t>
        </is>
      </c>
      <c r="F4" s="25" t="n">
        <v>1.52</v>
      </c>
      <c r="G4" s="24" t="inlineStr">
        <is>
          <t>Excellent</t>
        </is>
      </c>
      <c r="H4" s="24" t="inlineStr">
        <is>
          <t>F</t>
        </is>
      </c>
      <c r="I4" s="24" t="inlineStr">
        <is>
          <t>VS1</t>
        </is>
      </c>
      <c r="J4" s="24" t="inlineStr">
        <is>
          <t>Feather, Crystal</t>
        </is>
      </c>
      <c r="K4" s="24" t="inlineStr">
        <is>
          <t>Excellent</t>
        </is>
      </c>
      <c r="L4" s="24" t="inlineStr">
        <is>
          <t>Excellent</t>
        </is>
      </c>
      <c r="M4" s="24" t="inlineStr">
        <is>
          <t>None</t>
        </is>
      </c>
      <c r="N4" s="24" t="inlineStr">
        <is>
          <t>7.35 × 7.38 × 4.52</t>
        </is>
      </c>
      <c r="O4" s="26" t="n">
        <v>0.58</v>
      </c>
      <c r="P4" s="26" t="n">
        <v>0.618</v>
      </c>
      <c r="Q4" s="27" t="inlineStr">
        <is>
          <t>A round brilliant of exceptional fire, cut to return maximum light with every movement. Its near-colorless grade and excellent proportions give it a bright, lively face-up appearance.</t>
        </is>
      </c>
      <c r="R4" s="22" t="inlineStr">
        <is>
          <t>7346554795</t>
        </is>
      </c>
      <c r="S4" s="24" t="inlineStr">
        <is>
          <t>2024-03-02</t>
        </is>
      </c>
      <c r="T4" s="24" t="inlineStr">
        <is>
          <t>Verified</t>
        </is>
      </c>
      <c r="U4" s="23">
        <f>IF(R4="","","https://www.gia.edu/report-check?reportno="&amp;R4)</f>
        <v/>
      </c>
      <c r="V4" s="24" t="inlineStr">
        <is>
          <t>TRACR-MOCK-88213-NA</t>
        </is>
      </c>
      <c r="W4" s="24" t="inlineStr">
        <is>
          <t>Verified</t>
        </is>
      </c>
      <c r="X4" s="24" t="inlineStr">
        <is>
          <t>Orapa Mine</t>
        </is>
      </c>
      <c r="Y4" s="24" t="inlineStr">
        <is>
          <t>Botswana</t>
        </is>
      </c>
      <c r="Z4" s="25" t="n">
        <v>3.86</v>
      </c>
      <c r="AA4" s="24" t="n">
        <v>2.9</v>
      </c>
      <c r="AB4" s="24" t="n">
        <v>180</v>
      </c>
      <c r="AC4" s="28" t="n">
        <v>1250</v>
      </c>
      <c r="AD4" s="28" t="n">
        <v>55000</v>
      </c>
      <c r="AE4" s="27" t="inlineStr">
        <is>
          <t>This diamond was mined by Debswana, a partnership between the Government of Botswana and De Beers, and sold through De Beers’ sightholder sales — the rough diamond distribution arm historically known as the Diamond Trading Company (DTC).</t>
        </is>
      </c>
      <c r="AF4" s="27" t="inlineStr">
        <is>
          <t>Orapa, in the Kalahari of central Botswana, is one of the largest diamond mines in the world by area.</t>
        </is>
      </c>
      <c r="AG4" s="23">
        <f>COUNTIF('Custody Chain'!$A:$A,A4)</f>
        <v/>
      </c>
      <c r="AH4" s="23">
        <f>COUNTIF(Photos!$A:$A,A4)</f>
        <v/>
      </c>
      <c r="AI4" s="23">
        <f>IF(((A4="")+(C4="")+(E4="")+(F4="")+(G4="")+(H4="")+(I4="")+(R4="")+(S4="")+(T4="")+(V4="")+(W4="")+(X4="")+(Y4=""))&gt;0,"Missing "&amp;((A4="")+(C4="")+(E4="")+(F4="")+(G4="")+(H4="")+(I4="")+(R4="")+(S4="")+(T4="")+(V4="")+(W4="")+(X4="")+(Y4=""))&amp;" required field(s)",IF(AG4=0,"Needs custody chain",IF(AH4&lt;3,"Needs photos","Complete")))</f>
        <v/>
      </c>
    </row>
    <row r="5" ht="60" customHeight="1">
      <c r="A5" s="22" t="inlineStr">
        <is>
          <t>002</t>
        </is>
      </c>
      <c r="B5" s="23">
        <f>IF(A5="","","https://diamond-nfc-experience.vercel.app/diamond/"&amp;A5)</f>
        <v/>
      </c>
      <c r="C5" s="24" t="inlineStr">
        <is>
          <t>Draft</t>
        </is>
      </c>
      <c r="D5" s="24" t="inlineStr">
        <is>
          <t>The Solstice</t>
        </is>
      </c>
      <c r="E5" s="24" t="inlineStr">
        <is>
          <t>Oval</t>
        </is>
      </c>
      <c r="F5" s="25" t="n">
        <v>2.01</v>
      </c>
      <c r="G5" s="24" t="inlineStr">
        <is>
          <t>Very Good</t>
        </is>
      </c>
      <c r="H5" s="24" t="inlineStr">
        <is>
          <t>G</t>
        </is>
      </c>
      <c r="I5" s="24" t="inlineStr">
        <is>
          <t>VVS2</t>
        </is>
      </c>
      <c r="J5" s="24" t="inlineStr">
        <is>
          <t>Pinpoint</t>
        </is>
      </c>
      <c r="K5" s="24" t="inlineStr">
        <is>
          <t>Excellent</t>
        </is>
      </c>
      <c r="L5" s="24" t="inlineStr">
        <is>
          <t>Very Good</t>
        </is>
      </c>
      <c r="M5" s="24" t="inlineStr">
        <is>
          <t>Faint</t>
        </is>
      </c>
      <c r="N5" s="24" t="inlineStr">
        <is>
          <t>9.87 × 6.92 × 4.41</t>
        </is>
      </c>
      <c r="O5" s="26" t="n">
        <v>0.61</v>
      </c>
      <c r="P5" s="26" t="n">
        <v>0.634</v>
      </c>
      <c r="Q5" s="27" t="inlineStr">
        <is>
          <t>An elongated oval with a soft, elegant silhouette. Exceptionally clean under magnification, with a warm brilliance that flatters the hand.</t>
        </is>
      </c>
      <c r="R5" s="22" t="inlineStr">
        <is>
          <t>6261314219</t>
        </is>
      </c>
      <c r="S5" s="24" t="inlineStr">
        <is>
          <t>2024-01-15</t>
        </is>
      </c>
      <c r="T5" s="24" t="inlineStr">
        <is>
          <t>Verified</t>
        </is>
      </c>
      <c r="U5" s="23">
        <f>IF(R5="","","https://www.gia.edu/report-check?reportno="&amp;R5)</f>
        <v/>
      </c>
      <c r="V5" s="24" t="inlineStr">
        <is>
          <t>TRACR-MOCK-51907-NA</t>
        </is>
      </c>
      <c r="W5" s="24" t="inlineStr">
        <is>
          <t>Verified</t>
        </is>
      </c>
      <c r="X5" s="24" t="inlineStr">
        <is>
          <t>Diavik Mine</t>
        </is>
      </c>
      <c r="Y5" s="24" t="inlineStr">
        <is>
          <t>Canada</t>
        </is>
      </c>
      <c r="Z5" s="25" t="n">
        <v>4.92</v>
      </c>
      <c r="AA5" s="24" t="n">
        <v>3.3</v>
      </c>
      <c r="AB5" s="24" t="n">
        <v>200</v>
      </c>
      <c r="AC5" s="28" t="n">
        <v>1300</v>
      </c>
      <c r="AD5" s="28" t="n">
        <v>60000</v>
      </c>
      <c r="AE5" s="27" t="inlineStr">
        <is>
          <t>This diamond comes from Diavik, in the Lac de Gras region of Canada’s Northwest Territories, roughly 220 km south of the Arctic Circle.</t>
        </is>
      </c>
      <c r="AF5" s="27" t="inlineStr">
        <is>
          <t>The mine sits on islands in a sub-Arctic lake, reached by winter ice road. Canadian diamonds can be traced from mine to market under the Canadian Diamond Code of Conduct.</t>
        </is>
      </c>
      <c r="AG5" s="23">
        <f>COUNTIF('Custody Chain'!$A:$A,A5)</f>
        <v/>
      </c>
      <c r="AH5" s="23">
        <f>COUNTIF(Photos!$A:$A,A5)</f>
        <v/>
      </c>
      <c r="AI5" s="23">
        <f>IF(((A5="")+(C5="")+(E5="")+(F5="")+(G5="")+(H5="")+(I5="")+(R5="")+(S5="")+(T5="")+(V5="")+(W5="")+(X5="")+(Y5=""))&gt;0,"Missing "&amp;((A5="")+(C5="")+(E5="")+(F5="")+(G5="")+(H5="")+(I5="")+(R5="")+(S5="")+(T5="")+(V5="")+(W5="")+(X5="")+(Y5=""))&amp;" required field(s)",IF(AG5=0,"Needs custody chain",IF(AH5&lt;3,"Needs photos","Complete")))</f>
        <v/>
      </c>
    </row>
    <row r="6" ht="60" customHeight="1">
      <c r="A6" s="22" t="inlineStr">
        <is>
          <t>003</t>
        </is>
      </c>
      <c r="B6" s="23">
        <f>IF(A6="","","https://diamond-nfc-experience.vercel.app/diamond/"&amp;A6)</f>
        <v/>
      </c>
      <c r="C6" s="24" t="inlineStr">
        <is>
          <t>Draft</t>
        </is>
      </c>
      <c r="D6" s="24" t="inlineStr">
        <is>
          <t>The Aurelia</t>
        </is>
      </c>
      <c r="E6" s="24" t="inlineStr">
        <is>
          <t>Emerald Cut</t>
        </is>
      </c>
      <c r="F6" s="25" t="n">
        <v>1.84</v>
      </c>
      <c r="G6" s="24" t="inlineStr">
        <is>
          <t>Excellent</t>
        </is>
      </c>
      <c r="H6" s="24" t="inlineStr">
        <is>
          <t>D</t>
        </is>
      </c>
      <c r="I6" s="24" t="inlineStr">
        <is>
          <t>IF</t>
        </is>
      </c>
      <c r="J6" s="24" t="inlineStr">
        <is>
          <t>Natural</t>
        </is>
      </c>
      <c r="K6" s="24" t="inlineStr">
        <is>
          <t>Excellent</t>
        </is>
      </c>
      <c r="L6" s="24" t="inlineStr">
        <is>
          <t>Excellent</t>
        </is>
      </c>
      <c r="M6" s="24" t="inlineStr">
        <is>
          <t>None</t>
        </is>
      </c>
      <c r="N6" s="24" t="inlineStr">
        <is>
          <t>8.12 × 5.96 × 3.98</t>
        </is>
      </c>
      <c r="O6" s="26" t="n">
        <v>0.63</v>
      </c>
      <c r="P6" s="26" t="n">
        <v>0.669</v>
      </c>
      <c r="Q6" s="27" t="inlineStr">
        <is>
          <t>A step-cut diamond of rare purity: completely colorless and internally flawless. Its long, open facets create a hall-of-mirrors effect rather than the scatter of a brilliant cut.</t>
        </is>
      </c>
      <c r="R6" s="22" t="inlineStr">
        <is>
          <t>1173390582</t>
        </is>
      </c>
      <c r="S6" s="24" t="inlineStr">
        <is>
          <t>2023-10-05</t>
        </is>
      </c>
      <c r="T6" s="24" t="inlineStr">
        <is>
          <t>Verified</t>
        </is>
      </c>
      <c r="U6" s="23">
        <f>IF(R6="","","https://www.gia.edu/report-check?reportno="&amp;R6)</f>
        <v/>
      </c>
      <c r="V6" s="24" t="inlineStr">
        <is>
          <t>TRACR-MOCK-30044-NA</t>
        </is>
      </c>
      <c r="W6" s="24" t="inlineStr">
        <is>
          <t>Verified</t>
        </is>
      </c>
      <c r="X6" s="24" t="inlineStr">
        <is>
          <t>Argyle Mine</t>
        </is>
      </c>
      <c r="Y6" s="24" t="inlineStr">
        <is>
          <t>Australia</t>
        </is>
      </c>
      <c r="Z6" s="25" t="n">
        <v>4.1</v>
      </c>
      <c r="AA6" s="24" t="n">
        <v>1.6</v>
      </c>
      <c r="AB6" s="24" t="n">
        <v>150</v>
      </c>
      <c r="AC6" s="28" t="n">
        <v>1150</v>
      </c>
      <c r="AD6" s="28" t="n">
        <v>45000</v>
      </c>
      <c r="AE6" s="27" t="inlineStr">
        <is>
          <t>This diamond comes from Argyle, in the remote Kimberley region of Western Australia.</t>
        </is>
      </c>
      <c r="AF6" s="27" t="inlineStr">
        <is>
          <t>Argyle is one of the few major diamond sources carried to the surface in lamproite rather than kimberlite, and is best known for the rare pink diamonds found alongside stones like this one.</t>
        </is>
      </c>
      <c r="AG6" s="23">
        <f>COUNTIF('Custody Chain'!$A:$A,A6)</f>
        <v/>
      </c>
      <c r="AH6" s="23">
        <f>COUNTIF(Photos!$A:$A,A6)</f>
        <v/>
      </c>
      <c r="AI6" s="23">
        <f>IF(((A6="")+(C6="")+(E6="")+(F6="")+(G6="")+(H6="")+(I6="")+(R6="")+(S6="")+(T6="")+(V6="")+(W6="")+(X6="")+(Y6=""))&gt;0,"Missing "&amp;((A6="")+(C6="")+(E6="")+(F6="")+(G6="")+(H6="")+(I6="")+(R6="")+(S6="")+(T6="")+(V6="")+(W6="")+(X6="")+(Y6=""))&amp;" required field(s)",IF(AG6=0,"Needs custody chain",IF(AH6&lt;3,"Needs photos","Complete")))</f>
        <v/>
      </c>
    </row>
    <row r="7" ht="60" customHeight="1">
      <c r="A7" s="22" t="inlineStr">
        <is>
          <t>004</t>
        </is>
      </c>
      <c r="B7" s="23">
        <f>IF(A7="","","https://diamond-nfc-experience.vercel.app/diamond/"&amp;A7)</f>
        <v/>
      </c>
      <c r="C7" s="24" t="inlineStr">
        <is>
          <t>Draft</t>
        </is>
      </c>
      <c r="D7" s="24" t="inlineStr">
        <is>
          <t>The Cascade</t>
        </is>
      </c>
      <c r="E7" s="24" t="inlineStr">
        <is>
          <t>Cushion</t>
        </is>
      </c>
      <c r="F7" s="25" t="n">
        <v>1.35</v>
      </c>
      <c r="G7" s="24" t="inlineStr">
        <is>
          <t>Very Good</t>
        </is>
      </c>
      <c r="H7" s="24" t="inlineStr">
        <is>
          <t>H</t>
        </is>
      </c>
      <c r="I7" s="24" t="inlineStr">
        <is>
          <t>VS2</t>
        </is>
      </c>
      <c r="J7" s="24" t="inlineStr">
        <is>
          <t>Feather, Needle</t>
        </is>
      </c>
      <c r="K7" s="24" t="inlineStr">
        <is>
          <t>Very Good</t>
        </is>
      </c>
      <c r="L7" s="24" t="inlineStr">
        <is>
          <t>Very Good</t>
        </is>
      </c>
      <c r="M7" s="24" t="inlineStr">
        <is>
          <t>None</t>
        </is>
      </c>
      <c r="N7" s="24" t="inlineStr">
        <is>
          <t>6.84 × 6.71 × 4.35</t>
        </is>
      </c>
      <c r="O7" s="26" t="n">
        <v>0.6</v>
      </c>
      <c r="P7" s="26" t="n">
        <v>0.648</v>
      </c>
      <c r="Q7" s="27" t="inlineStr">
        <is>
          <t>A cushion cut with rounded corners and a soft, pillowy brilliance. Its warmer color grade gives the stone a gentle, candlelit glow.</t>
        </is>
      </c>
      <c r="R7" s="22" t="inlineStr">
        <is>
          <t>5540298871</t>
        </is>
      </c>
      <c r="S7" s="24" t="inlineStr">
        <is>
          <t>2024-08-02</t>
        </is>
      </c>
      <c r="T7" s="24" t="inlineStr">
        <is>
          <t>In progress</t>
        </is>
      </c>
      <c r="U7" s="23">
        <f>IF(R7="","","https://www.gia.edu/report-check?reportno="&amp;R7)</f>
        <v/>
      </c>
      <c r="V7" s="24" t="inlineStr">
        <is>
          <t>TRACR-MOCK-67725-NA</t>
        </is>
      </c>
      <c r="W7" s="24" t="inlineStr">
        <is>
          <t>Pending verification</t>
        </is>
      </c>
      <c r="X7" s="24" t="inlineStr">
        <is>
          <t>Ekati Mine</t>
        </is>
      </c>
      <c r="Y7" s="24" t="inlineStr">
        <is>
          <t>Canada</t>
        </is>
      </c>
      <c r="Z7" s="25" t="n">
        <v>2.98</v>
      </c>
      <c r="AA7" s="24" t="n">
        <v>3.5</v>
      </c>
      <c r="AB7" s="24" t="n">
        <v>210</v>
      </c>
      <c r="AC7" s="28" t="n">
        <v>1350</v>
      </c>
      <c r="AD7" s="28" t="n">
        <v>65000</v>
      </c>
      <c r="AE7" s="27" t="inlineStr">
        <is>
          <t>This diamond comes from Ekati, Canada’s first diamond mine, opened in 1998 in the Lac de Gras region of the Northwest Territories.</t>
        </is>
      </c>
      <c r="AF7" s="27" t="inlineStr">
        <is>
          <t>Its diamonds formed beneath the Slave Craton, some of the oldest continental crust on Earth.</t>
        </is>
      </c>
      <c r="AG7" s="23">
        <f>COUNTIF('Custody Chain'!$A:$A,A7)</f>
        <v/>
      </c>
      <c r="AH7" s="23">
        <f>COUNTIF(Photos!$A:$A,A7)</f>
        <v/>
      </c>
      <c r="AI7" s="23">
        <f>IF(((A7="")+(C7="")+(E7="")+(F7="")+(G7="")+(H7="")+(I7="")+(R7="")+(S7="")+(T7="")+(V7="")+(W7="")+(X7="")+(Y7=""))&gt;0,"Missing "&amp;((A7="")+(C7="")+(E7="")+(F7="")+(G7="")+(H7="")+(I7="")+(R7="")+(S7="")+(T7="")+(V7="")+(W7="")+(X7="")+(Y7=""))&amp;" required field(s)",IF(AG7=0,"Needs custody chain",IF(AH7&lt;3,"Needs photos","Complete")))</f>
        <v/>
      </c>
    </row>
    <row r="8" ht="60" customHeight="1">
      <c r="A8" s="22" t="inlineStr">
        <is>
          <t>005</t>
        </is>
      </c>
      <c r="B8" s="23">
        <f>IF(A8="","","https://diamond-nfc-experience.vercel.app/diamond/"&amp;A8)</f>
        <v/>
      </c>
      <c r="C8" s="24" t="inlineStr">
        <is>
          <t>Draft</t>
        </is>
      </c>
      <c r="D8" s="24" t="inlineStr">
        <is>
          <t>The Ember</t>
        </is>
      </c>
      <c r="E8" s="24" t="inlineStr">
        <is>
          <t>Radiant Cut</t>
        </is>
      </c>
      <c r="F8" s="25" t="n">
        <v>1.68</v>
      </c>
      <c r="G8" s="24" t="inlineStr">
        <is>
          <t>Excellent</t>
        </is>
      </c>
      <c r="H8" s="24" t="inlineStr">
        <is>
          <t>E</t>
        </is>
      </c>
      <c r="I8" s="24" t="inlineStr">
        <is>
          <t>VS1</t>
        </is>
      </c>
      <c r="J8" s="24" t="inlineStr">
        <is>
          <t>Crystal, Feather</t>
        </is>
      </c>
      <c r="K8" s="24" t="inlineStr">
        <is>
          <t>Excellent</t>
        </is>
      </c>
      <c r="L8" s="24" t="inlineStr">
        <is>
          <t>Excellent</t>
        </is>
      </c>
      <c r="M8" s="24" t="inlineStr">
        <is>
          <t>None</t>
        </is>
      </c>
      <c r="N8" s="24" t="inlineStr">
        <is>
          <t>7.42 × 6.18 × 4.29</t>
        </is>
      </c>
      <c r="O8" s="26" t="n">
        <v>0.66</v>
      </c>
      <c r="P8" s="26" t="n">
        <v>0.652</v>
      </c>
      <c r="Q8" s="27" t="inlineStr">
        <is>
          <t>A radiant cut that trades the brilliant's round scatter for crisp, angular flashes of light. Its cropped corners and near-colorless grade give it a bold, architectural presence on the hand.</t>
        </is>
      </c>
      <c r="R8" s="22" t="inlineStr">
        <is>
          <t>8892047163</t>
        </is>
      </c>
      <c r="S8" s="24" t="inlineStr">
        <is>
          <t>2024-08-19</t>
        </is>
      </c>
      <c r="T8" s="24" t="inlineStr">
        <is>
          <t>Verified</t>
        </is>
      </c>
      <c r="U8" s="23">
        <f>IF(R8="","","https://www.gia.edu/report-check?reportno="&amp;R8)</f>
        <v/>
      </c>
      <c r="V8" s="24" t="inlineStr">
        <is>
          <t>TRACR-MOCK-92318-NA</t>
        </is>
      </c>
      <c r="W8" s="24" t="inlineStr">
        <is>
          <t>Verified</t>
        </is>
      </c>
      <c r="X8" s="24" t="inlineStr">
        <is>
          <t>Venetia Mine</t>
        </is>
      </c>
      <c r="Y8" s="24" t="inlineStr">
        <is>
          <t>South Africa</t>
        </is>
      </c>
      <c r="Z8" s="25" t="n">
        <v>3.41</v>
      </c>
      <c r="AA8" s="24" t="n">
        <v>3.1</v>
      </c>
      <c r="AB8" s="24" t="n">
        <v>190</v>
      </c>
      <c r="AC8" s="28" t="n">
        <v>1280</v>
      </c>
      <c r="AD8" s="28" t="n">
        <v>58000</v>
      </c>
      <c r="AE8" s="27" t="inlineStr">
        <is>
          <t>This diamond comes from Venetia, De Beers’ largest diamond mine by production, in South Africa’s Limpopo province.</t>
        </is>
      </c>
      <c r="AF8" s="27" t="inlineStr">
        <is>
          <t>Venetia's diamonds formed within the Kaapvaal Craton, one of the few surviving fragments of Earth's earliest continental crust.</t>
        </is>
      </c>
      <c r="AG8" s="23">
        <f>COUNTIF('Custody Chain'!$A:$A,A8)</f>
        <v/>
      </c>
      <c r="AH8" s="23">
        <f>COUNTIF(Photos!$A:$A,A8)</f>
        <v/>
      </c>
      <c r="AI8" s="23">
        <f>IF(((A8="")+(C8="")+(E8="")+(F8="")+(G8="")+(H8="")+(I8="")+(R8="")+(S8="")+(T8="")+(V8="")+(W8="")+(X8="")+(Y8=""))&gt;0,"Missing "&amp;((A8="")+(C8="")+(E8="")+(F8="")+(G8="")+(H8="")+(I8="")+(R8="")+(S8="")+(T8="")+(V8="")+(W8="")+(X8="")+(Y8=""))&amp;" required field(s)",IF(AG8=0,"Needs custody chain",IF(AH8&lt;3,"Needs photos","Complete")))</f>
        <v/>
      </c>
    </row>
    <row r="9" ht="18" customHeight="1">
      <c r="A9" s="22" t="inlineStr">
        <is>
          <t>006</t>
        </is>
      </c>
      <c r="B9" s="23">
        <f>IF(A9="","","https://diamond-nfc-experience.vercel.app/diamond/"&amp;A9)</f>
        <v/>
      </c>
      <c r="C9" s="24" t="inlineStr">
        <is>
          <t>Draft</t>
        </is>
      </c>
      <c r="D9" s="24" t="n"/>
      <c r="E9" s="24" t="n"/>
      <c r="F9" s="25" t="n"/>
      <c r="G9" s="24" t="n"/>
      <c r="H9" s="24" t="n"/>
      <c r="I9" s="24" t="n"/>
      <c r="J9" s="24" t="n"/>
      <c r="K9" s="24" t="n"/>
      <c r="L9" s="24" t="n"/>
      <c r="M9" s="24" t="n"/>
      <c r="N9" s="24" t="n"/>
      <c r="O9" s="26" t="n"/>
      <c r="P9" s="26" t="n"/>
      <c r="Q9" s="27" t="n"/>
      <c r="R9" s="22" t="n"/>
      <c r="S9" s="24" t="n"/>
      <c r="T9" s="24" t="n"/>
      <c r="U9" s="23">
        <f>IF(R9="","","https://www.gia.edu/report-check?reportno="&amp;R9)</f>
        <v/>
      </c>
      <c r="V9" s="24" t="n"/>
      <c r="W9" s="24" t="n"/>
      <c r="X9" s="24" t="n"/>
      <c r="Y9" s="24" t="n"/>
      <c r="Z9" s="25" t="n"/>
      <c r="AA9" s="24" t="n"/>
      <c r="AB9" s="24" t="n"/>
      <c r="AC9" s="28" t="n"/>
      <c r="AD9" s="28" t="n"/>
      <c r="AE9" s="27" t="n"/>
      <c r="AF9" s="27" t="n"/>
      <c r="AG9" s="23">
        <f>COUNTIF('Custody Chain'!$A:$A,A9)</f>
        <v/>
      </c>
      <c r="AH9" s="23">
        <f>COUNTIF(Photos!$A:$A,A9)</f>
        <v/>
      </c>
      <c r="AI9" s="23">
        <f>IF(((A9="")+(C9="")+(E9="")+(F9="")+(G9="")+(H9="")+(I9="")+(R9="")+(S9="")+(T9="")+(V9="")+(W9="")+(X9="")+(Y9=""))&gt;0,"Missing "&amp;((A9="")+(C9="")+(E9="")+(F9="")+(G9="")+(H9="")+(I9="")+(R9="")+(S9="")+(T9="")+(V9="")+(W9="")+(X9="")+(Y9=""))&amp;" required field(s)",IF(AG9=0,"Needs custody chain",IF(AH9&lt;3,"Needs photos","Complete")))</f>
        <v/>
      </c>
    </row>
    <row r="10" ht="18" customHeight="1">
      <c r="A10" s="22" t="inlineStr">
        <is>
          <t>007</t>
        </is>
      </c>
      <c r="B10" s="23">
        <f>IF(A10="","","https://diamond-nfc-experience.vercel.app/diamond/"&amp;A10)</f>
        <v/>
      </c>
      <c r="C10" s="24" t="inlineStr">
        <is>
          <t>Draft</t>
        </is>
      </c>
      <c r="D10" s="24" t="n"/>
      <c r="E10" s="24" t="n"/>
      <c r="F10" s="25" t="n"/>
      <c r="G10" s="24" t="n"/>
      <c r="H10" s="24" t="n"/>
      <c r="I10" s="24" t="n"/>
      <c r="J10" s="24" t="n"/>
      <c r="K10" s="24" t="n"/>
      <c r="L10" s="24" t="n"/>
      <c r="M10" s="24" t="n"/>
      <c r="N10" s="24" t="n"/>
      <c r="O10" s="26" t="n"/>
      <c r="P10" s="26" t="n"/>
      <c r="Q10" s="27" t="n"/>
      <c r="R10" s="22" t="n"/>
      <c r="S10" s="24" t="n"/>
      <c r="T10" s="24" t="n"/>
      <c r="U10" s="23">
        <f>IF(R10="","","https://www.gia.edu/report-check?reportno="&amp;R10)</f>
        <v/>
      </c>
      <c r="V10" s="24" t="n"/>
      <c r="W10" s="24" t="n"/>
      <c r="X10" s="24" t="n"/>
      <c r="Y10" s="24" t="n"/>
      <c r="Z10" s="25" t="n"/>
      <c r="AA10" s="24" t="n"/>
      <c r="AB10" s="24" t="n"/>
      <c r="AC10" s="28" t="n"/>
      <c r="AD10" s="28" t="n"/>
      <c r="AE10" s="27" t="n"/>
      <c r="AF10" s="27" t="n"/>
      <c r="AG10" s="23">
        <f>COUNTIF('Custody Chain'!$A:$A,A10)</f>
        <v/>
      </c>
      <c r="AH10" s="23">
        <f>COUNTIF(Photos!$A:$A,A10)</f>
        <v/>
      </c>
      <c r="AI10" s="23">
        <f>IF(((A10="")+(C10="")+(E10="")+(F10="")+(G10="")+(H10="")+(I10="")+(R10="")+(S10="")+(T10="")+(V10="")+(W10="")+(X10="")+(Y10=""))&gt;0,"Missing "&amp;((A10="")+(C10="")+(E10="")+(F10="")+(G10="")+(H10="")+(I10="")+(R10="")+(S10="")+(T10="")+(V10="")+(W10="")+(X10="")+(Y10=""))&amp;" required field(s)",IF(AG10=0,"Needs custody chain",IF(AH10&lt;3,"Needs photos","Complete")))</f>
        <v/>
      </c>
    </row>
    <row r="11" ht="18" customHeight="1">
      <c r="A11" s="22" t="inlineStr">
        <is>
          <t>008</t>
        </is>
      </c>
      <c r="B11" s="23">
        <f>IF(A11="","","https://diamond-nfc-experience.vercel.app/diamond/"&amp;A11)</f>
        <v/>
      </c>
      <c r="C11" s="24" t="inlineStr">
        <is>
          <t>Draft</t>
        </is>
      </c>
      <c r="D11" s="24" t="n"/>
      <c r="E11" s="24" t="n"/>
      <c r="F11" s="25" t="n"/>
      <c r="G11" s="24" t="n"/>
      <c r="H11" s="24" t="n"/>
      <c r="I11" s="24" t="n"/>
      <c r="J11" s="24" t="n"/>
      <c r="K11" s="24" t="n"/>
      <c r="L11" s="24" t="n"/>
      <c r="M11" s="24" t="n"/>
      <c r="N11" s="24" t="n"/>
      <c r="O11" s="26" t="n"/>
      <c r="P11" s="26" t="n"/>
      <c r="Q11" s="27" t="n"/>
      <c r="R11" s="22" t="n"/>
      <c r="S11" s="24" t="n"/>
      <c r="T11" s="24" t="n"/>
      <c r="U11" s="23">
        <f>IF(R11="","","https://www.gia.edu/report-check?reportno="&amp;R11)</f>
        <v/>
      </c>
      <c r="V11" s="24" t="n"/>
      <c r="W11" s="24" t="n"/>
      <c r="X11" s="24" t="n"/>
      <c r="Y11" s="24" t="n"/>
      <c r="Z11" s="25" t="n"/>
      <c r="AA11" s="24" t="n"/>
      <c r="AB11" s="24" t="n"/>
      <c r="AC11" s="28" t="n"/>
      <c r="AD11" s="28" t="n"/>
      <c r="AE11" s="27" t="n"/>
      <c r="AF11" s="27" t="n"/>
      <c r="AG11" s="23">
        <f>COUNTIF('Custody Chain'!$A:$A,A11)</f>
        <v/>
      </c>
      <c r="AH11" s="23">
        <f>COUNTIF(Photos!$A:$A,A11)</f>
        <v/>
      </c>
      <c r="AI11" s="23">
        <f>IF(((A11="")+(C11="")+(E11="")+(F11="")+(G11="")+(H11="")+(I11="")+(R11="")+(S11="")+(T11="")+(V11="")+(W11="")+(X11="")+(Y11=""))&gt;0,"Missing "&amp;((A11="")+(C11="")+(E11="")+(F11="")+(G11="")+(H11="")+(I11="")+(R11="")+(S11="")+(T11="")+(V11="")+(W11="")+(X11="")+(Y11=""))&amp;" required field(s)",IF(AG11=0,"Needs custody chain",IF(AH11&lt;3,"Needs photos","Complete")))</f>
        <v/>
      </c>
    </row>
    <row r="12" ht="18" customHeight="1">
      <c r="A12" s="22" t="inlineStr">
        <is>
          <t>009</t>
        </is>
      </c>
      <c r="B12" s="23">
        <f>IF(A12="","","https://diamond-nfc-experience.vercel.app/diamond/"&amp;A12)</f>
        <v/>
      </c>
      <c r="C12" s="24" t="inlineStr">
        <is>
          <t>Draft</t>
        </is>
      </c>
      <c r="D12" s="24" t="n"/>
      <c r="E12" s="24" t="n"/>
      <c r="F12" s="25" t="n"/>
      <c r="G12" s="24" t="n"/>
      <c r="H12" s="24" t="n"/>
      <c r="I12" s="24" t="n"/>
      <c r="J12" s="24" t="n"/>
      <c r="K12" s="24" t="n"/>
      <c r="L12" s="24" t="n"/>
      <c r="M12" s="24" t="n"/>
      <c r="N12" s="24" t="n"/>
      <c r="O12" s="26" t="n"/>
      <c r="P12" s="26" t="n"/>
      <c r="Q12" s="27" t="n"/>
      <c r="R12" s="22" t="n"/>
      <c r="S12" s="24" t="n"/>
      <c r="T12" s="24" t="n"/>
      <c r="U12" s="23">
        <f>IF(R12="","","https://www.gia.edu/report-check?reportno="&amp;R12)</f>
        <v/>
      </c>
      <c r="V12" s="24" t="n"/>
      <c r="W12" s="24" t="n"/>
      <c r="X12" s="24" t="n"/>
      <c r="Y12" s="24" t="n"/>
      <c r="Z12" s="25" t="n"/>
      <c r="AA12" s="24" t="n"/>
      <c r="AB12" s="24" t="n"/>
      <c r="AC12" s="28" t="n"/>
      <c r="AD12" s="28" t="n"/>
      <c r="AE12" s="27" t="n"/>
      <c r="AF12" s="27" t="n"/>
      <c r="AG12" s="23">
        <f>COUNTIF('Custody Chain'!$A:$A,A12)</f>
        <v/>
      </c>
      <c r="AH12" s="23">
        <f>COUNTIF(Photos!$A:$A,A12)</f>
        <v/>
      </c>
      <c r="AI12" s="23">
        <f>IF(((A12="")+(C12="")+(E12="")+(F12="")+(G12="")+(H12="")+(I12="")+(R12="")+(S12="")+(T12="")+(V12="")+(W12="")+(X12="")+(Y12=""))&gt;0,"Missing "&amp;((A12="")+(C12="")+(E12="")+(F12="")+(G12="")+(H12="")+(I12="")+(R12="")+(S12="")+(T12="")+(V12="")+(W12="")+(X12="")+(Y12=""))&amp;" required field(s)",IF(AG12=0,"Needs custody chain",IF(AH12&lt;3,"Needs photos","Complete")))</f>
        <v/>
      </c>
    </row>
    <row r="13" ht="18" customHeight="1">
      <c r="A13" s="22" t="inlineStr">
        <is>
          <t>010</t>
        </is>
      </c>
      <c r="B13" s="23">
        <f>IF(A13="","","https://diamond-nfc-experience.vercel.app/diamond/"&amp;A13)</f>
        <v/>
      </c>
      <c r="C13" s="24" t="inlineStr">
        <is>
          <t>Draft</t>
        </is>
      </c>
      <c r="D13" s="24" t="n"/>
      <c r="E13" s="24" t="n"/>
      <c r="F13" s="25" t="n"/>
      <c r="G13" s="24" t="n"/>
      <c r="H13" s="24" t="n"/>
      <c r="I13" s="24" t="n"/>
      <c r="J13" s="24" t="n"/>
      <c r="K13" s="24" t="n"/>
      <c r="L13" s="24" t="n"/>
      <c r="M13" s="24" t="n"/>
      <c r="N13" s="24" t="n"/>
      <c r="O13" s="26" t="n"/>
      <c r="P13" s="26" t="n"/>
      <c r="Q13" s="27" t="n"/>
      <c r="R13" s="22" t="n"/>
      <c r="S13" s="24" t="n"/>
      <c r="T13" s="24" t="n"/>
      <c r="U13" s="23">
        <f>IF(R13="","","https://www.gia.edu/report-check?reportno="&amp;R13)</f>
        <v/>
      </c>
      <c r="V13" s="24" t="n"/>
      <c r="W13" s="24" t="n"/>
      <c r="X13" s="24" t="n"/>
      <c r="Y13" s="24" t="n"/>
      <c r="Z13" s="25" t="n"/>
      <c r="AA13" s="24" t="n"/>
      <c r="AB13" s="24" t="n"/>
      <c r="AC13" s="28" t="n"/>
      <c r="AD13" s="28" t="n"/>
      <c r="AE13" s="27" t="n"/>
      <c r="AF13" s="27" t="n"/>
      <c r="AG13" s="23">
        <f>COUNTIF('Custody Chain'!$A:$A,A13)</f>
        <v/>
      </c>
      <c r="AH13" s="23">
        <f>COUNTIF(Photos!$A:$A,A13)</f>
        <v/>
      </c>
      <c r="AI13" s="23">
        <f>IF(((A13="")+(C13="")+(E13="")+(F13="")+(G13="")+(H13="")+(I13="")+(R13="")+(S13="")+(T13="")+(V13="")+(W13="")+(X13="")+(Y13=""))&gt;0,"Missing "&amp;((A13="")+(C13="")+(E13="")+(F13="")+(G13="")+(H13="")+(I13="")+(R13="")+(S13="")+(T13="")+(V13="")+(W13="")+(X13="")+(Y13=""))&amp;" required field(s)",IF(AG13=0,"Needs custody chain",IF(AH13&lt;3,"Needs photos","Complete")))</f>
        <v/>
      </c>
    </row>
    <row r="14" ht="18" customHeight="1">
      <c r="A14" s="22" t="inlineStr">
        <is>
          <t>011</t>
        </is>
      </c>
      <c r="B14" s="23">
        <f>IF(A14="","","https://diamond-nfc-experience.vercel.app/diamond/"&amp;A14)</f>
        <v/>
      </c>
      <c r="C14" s="24" t="inlineStr">
        <is>
          <t>Draft</t>
        </is>
      </c>
      <c r="D14" s="24" t="n"/>
      <c r="E14" s="24" t="n"/>
      <c r="F14" s="25" t="n"/>
      <c r="G14" s="24" t="n"/>
      <c r="H14" s="24" t="n"/>
      <c r="I14" s="24" t="n"/>
      <c r="J14" s="24" t="n"/>
      <c r="K14" s="24" t="n"/>
      <c r="L14" s="24" t="n"/>
      <c r="M14" s="24" t="n"/>
      <c r="N14" s="24" t="n"/>
      <c r="O14" s="26" t="n"/>
      <c r="P14" s="26" t="n"/>
      <c r="Q14" s="27" t="n"/>
      <c r="R14" s="22" t="n"/>
      <c r="S14" s="24" t="n"/>
      <c r="T14" s="24" t="n"/>
      <c r="U14" s="23">
        <f>IF(R14="","","https://www.gia.edu/report-check?reportno="&amp;R14)</f>
        <v/>
      </c>
      <c r="V14" s="24" t="n"/>
      <c r="W14" s="24" t="n"/>
      <c r="X14" s="24" t="n"/>
      <c r="Y14" s="24" t="n"/>
      <c r="Z14" s="25" t="n"/>
      <c r="AA14" s="24" t="n"/>
      <c r="AB14" s="24" t="n"/>
      <c r="AC14" s="28" t="n"/>
      <c r="AD14" s="28" t="n"/>
      <c r="AE14" s="27" t="n"/>
      <c r="AF14" s="27" t="n"/>
      <c r="AG14" s="23">
        <f>COUNTIF('Custody Chain'!$A:$A,A14)</f>
        <v/>
      </c>
      <c r="AH14" s="23">
        <f>COUNTIF(Photos!$A:$A,A14)</f>
        <v/>
      </c>
      <c r="AI14" s="23">
        <f>IF(((A14="")+(C14="")+(E14="")+(F14="")+(G14="")+(H14="")+(I14="")+(R14="")+(S14="")+(T14="")+(V14="")+(W14="")+(X14="")+(Y14=""))&gt;0,"Missing "&amp;((A14="")+(C14="")+(E14="")+(F14="")+(G14="")+(H14="")+(I14="")+(R14="")+(S14="")+(T14="")+(V14="")+(W14="")+(X14="")+(Y14=""))&amp;" required field(s)",IF(AG14=0,"Needs custody chain",IF(AH14&lt;3,"Needs photos","Complete")))</f>
        <v/>
      </c>
    </row>
    <row r="15" ht="18" customHeight="1">
      <c r="A15" s="22" t="inlineStr">
        <is>
          <t>012</t>
        </is>
      </c>
      <c r="B15" s="23">
        <f>IF(A15="","","https://diamond-nfc-experience.vercel.app/diamond/"&amp;A15)</f>
        <v/>
      </c>
      <c r="C15" s="24" t="inlineStr">
        <is>
          <t>Draft</t>
        </is>
      </c>
      <c r="D15" s="24" t="n"/>
      <c r="E15" s="24" t="n"/>
      <c r="F15" s="25" t="n"/>
      <c r="G15" s="24" t="n"/>
      <c r="H15" s="24" t="n"/>
      <c r="I15" s="24" t="n"/>
      <c r="J15" s="24" t="n"/>
      <c r="K15" s="24" t="n"/>
      <c r="L15" s="24" t="n"/>
      <c r="M15" s="24" t="n"/>
      <c r="N15" s="24" t="n"/>
      <c r="O15" s="26" t="n"/>
      <c r="P15" s="26" t="n"/>
      <c r="Q15" s="27" t="n"/>
      <c r="R15" s="22" t="n"/>
      <c r="S15" s="24" t="n"/>
      <c r="T15" s="24" t="n"/>
      <c r="U15" s="23">
        <f>IF(R15="","","https://www.gia.edu/report-check?reportno="&amp;R15)</f>
        <v/>
      </c>
      <c r="V15" s="24" t="n"/>
      <c r="W15" s="24" t="n"/>
      <c r="X15" s="24" t="n"/>
      <c r="Y15" s="24" t="n"/>
      <c r="Z15" s="25" t="n"/>
      <c r="AA15" s="24" t="n"/>
      <c r="AB15" s="24" t="n"/>
      <c r="AC15" s="28" t="n"/>
      <c r="AD15" s="28" t="n"/>
      <c r="AE15" s="27" t="n"/>
      <c r="AF15" s="27" t="n"/>
      <c r="AG15" s="23">
        <f>COUNTIF('Custody Chain'!$A:$A,A15)</f>
        <v/>
      </c>
      <c r="AH15" s="23">
        <f>COUNTIF(Photos!$A:$A,A15)</f>
        <v/>
      </c>
      <c r="AI15" s="23">
        <f>IF(((A15="")+(C15="")+(E15="")+(F15="")+(G15="")+(H15="")+(I15="")+(R15="")+(S15="")+(T15="")+(V15="")+(W15="")+(X15="")+(Y15=""))&gt;0,"Missing "&amp;((A15="")+(C15="")+(E15="")+(F15="")+(G15="")+(H15="")+(I15="")+(R15="")+(S15="")+(T15="")+(V15="")+(W15="")+(X15="")+(Y15=""))&amp;" required field(s)",IF(AG15=0,"Needs custody chain",IF(AH15&lt;3,"Needs photos","Complete")))</f>
        <v/>
      </c>
    </row>
    <row r="16" ht="18" customHeight="1">
      <c r="A16" s="22" t="inlineStr">
        <is>
          <t>013</t>
        </is>
      </c>
      <c r="B16" s="23">
        <f>IF(A16="","","https://diamond-nfc-experience.vercel.app/diamond/"&amp;A16)</f>
        <v/>
      </c>
      <c r="C16" s="24" t="inlineStr">
        <is>
          <t>Draft</t>
        </is>
      </c>
      <c r="D16" s="24" t="n"/>
      <c r="E16" s="24" t="n"/>
      <c r="F16" s="25" t="n"/>
      <c r="G16" s="24" t="n"/>
      <c r="H16" s="24" t="n"/>
      <c r="I16" s="24" t="n"/>
      <c r="J16" s="24" t="n"/>
      <c r="K16" s="24" t="n"/>
      <c r="L16" s="24" t="n"/>
      <c r="M16" s="24" t="n"/>
      <c r="N16" s="24" t="n"/>
      <c r="O16" s="26" t="n"/>
      <c r="P16" s="26" t="n"/>
      <c r="Q16" s="27" t="n"/>
      <c r="R16" s="22" t="n"/>
      <c r="S16" s="24" t="n"/>
      <c r="T16" s="24" t="n"/>
      <c r="U16" s="23">
        <f>IF(R16="","","https://www.gia.edu/report-check?reportno="&amp;R16)</f>
        <v/>
      </c>
      <c r="V16" s="24" t="n"/>
      <c r="W16" s="24" t="n"/>
      <c r="X16" s="24" t="n"/>
      <c r="Y16" s="24" t="n"/>
      <c r="Z16" s="25" t="n"/>
      <c r="AA16" s="24" t="n"/>
      <c r="AB16" s="24" t="n"/>
      <c r="AC16" s="28" t="n"/>
      <c r="AD16" s="28" t="n"/>
      <c r="AE16" s="27" t="n"/>
      <c r="AF16" s="27" t="n"/>
      <c r="AG16" s="23">
        <f>COUNTIF('Custody Chain'!$A:$A,A16)</f>
        <v/>
      </c>
      <c r="AH16" s="23">
        <f>COUNTIF(Photos!$A:$A,A16)</f>
        <v/>
      </c>
      <c r="AI16" s="23">
        <f>IF(((A16="")+(C16="")+(E16="")+(F16="")+(G16="")+(H16="")+(I16="")+(R16="")+(S16="")+(T16="")+(V16="")+(W16="")+(X16="")+(Y16=""))&gt;0,"Missing "&amp;((A16="")+(C16="")+(E16="")+(F16="")+(G16="")+(H16="")+(I16="")+(R16="")+(S16="")+(T16="")+(V16="")+(W16="")+(X16="")+(Y16=""))&amp;" required field(s)",IF(AG16=0,"Needs custody chain",IF(AH16&lt;3,"Needs photos","Complete")))</f>
        <v/>
      </c>
    </row>
    <row r="17" ht="18" customHeight="1">
      <c r="A17" s="22" t="inlineStr">
        <is>
          <t>014</t>
        </is>
      </c>
      <c r="B17" s="23">
        <f>IF(A17="","","https://diamond-nfc-experience.vercel.app/diamond/"&amp;A17)</f>
        <v/>
      </c>
      <c r="C17" s="24" t="inlineStr">
        <is>
          <t>Draft</t>
        </is>
      </c>
      <c r="D17" s="24" t="n"/>
      <c r="E17" s="24" t="n"/>
      <c r="F17" s="25" t="n"/>
      <c r="G17" s="24" t="n"/>
      <c r="H17" s="24" t="n"/>
      <c r="I17" s="24" t="n"/>
      <c r="J17" s="24" t="n"/>
      <c r="K17" s="24" t="n"/>
      <c r="L17" s="24" t="n"/>
      <c r="M17" s="24" t="n"/>
      <c r="N17" s="24" t="n"/>
      <c r="O17" s="26" t="n"/>
      <c r="P17" s="26" t="n"/>
      <c r="Q17" s="27" t="n"/>
      <c r="R17" s="22" t="n"/>
      <c r="S17" s="24" t="n"/>
      <c r="T17" s="24" t="n"/>
      <c r="U17" s="23">
        <f>IF(R17="","","https://www.gia.edu/report-check?reportno="&amp;R17)</f>
        <v/>
      </c>
      <c r="V17" s="24" t="n"/>
      <c r="W17" s="24" t="n"/>
      <c r="X17" s="24" t="n"/>
      <c r="Y17" s="24" t="n"/>
      <c r="Z17" s="25" t="n"/>
      <c r="AA17" s="24" t="n"/>
      <c r="AB17" s="24" t="n"/>
      <c r="AC17" s="28" t="n"/>
      <c r="AD17" s="28" t="n"/>
      <c r="AE17" s="27" t="n"/>
      <c r="AF17" s="27" t="n"/>
      <c r="AG17" s="23">
        <f>COUNTIF('Custody Chain'!$A:$A,A17)</f>
        <v/>
      </c>
      <c r="AH17" s="23">
        <f>COUNTIF(Photos!$A:$A,A17)</f>
        <v/>
      </c>
      <c r="AI17" s="23">
        <f>IF(((A17="")+(C17="")+(E17="")+(F17="")+(G17="")+(H17="")+(I17="")+(R17="")+(S17="")+(T17="")+(V17="")+(W17="")+(X17="")+(Y17=""))&gt;0,"Missing "&amp;((A17="")+(C17="")+(E17="")+(F17="")+(G17="")+(H17="")+(I17="")+(R17="")+(S17="")+(T17="")+(V17="")+(W17="")+(X17="")+(Y17=""))&amp;" required field(s)",IF(AG17=0,"Needs custody chain",IF(AH17&lt;3,"Needs photos","Complete")))</f>
        <v/>
      </c>
    </row>
    <row r="18" ht="18" customHeight="1">
      <c r="A18" s="22" t="inlineStr">
        <is>
          <t>015</t>
        </is>
      </c>
      <c r="B18" s="23">
        <f>IF(A18="","","https://diamond-nfc-experience.vercel.app/diamond/"&amp;A18)</f>
        <v/>
      </c>
      <c r="C18" s="24" t="inlineStr">
        <is>
          <t>Draft</t>
        </is>
      </c>
      <c r="D18" s="24" t="n"/>
      <c r="E18" s="24" t="n"/>
      <c r="F18" s="25" t="n"/>
      <c r="G18" s="24" t="n"/>
      <c r="H18" s="24" t="n"/>
      <c r="I18" s="24" t="n"/>
      <c r="J18" s="24" t="n"/>
      <c r="K18" s="24" t="n"/>
      <c r="L18" s="24" t="n"/>
      <c r="M18" s="24" t="n"/>
      <c r="N18" s="24" t="n"/>
      <c r="O18" s="26" t="n"/>
      <c r="P18" s="26" t="n"/>
      <c r="Q18" s="27" t="n"/>
      <c r="R18" s="22" t="n"/>
      <c r="S18" s="24" t="n"/>
      <c r="T18" s="24" t="n"/>
      <c r="U18" s="23">
        <f>IF(R18="","","https://www.gia.edu/report-check?reportno="&amp;R18)</f>
        <v/>
      </c>
      <c r="V18" s="24" t="n"/>
      <c r="W18" s="24" t="n"/>
      <c r="X18" s="24" t="n"/>
      <c r="Y18" s="24" t="n"/>
      <c r="Z18" s="25" t="n"/>
      <c r="AA18" s="24" t="n"/>
      <c r="AB18" s="24" t="n"/>
      <c r="AC18" s="28" t="n"/>
      <c r="AD18" s="28" t="n"/>
      <c r="AE18" s="27" t="n"/>
      <c r="AF18" s="27" t="n"/>
      <c r="AG18" s="23">
        <f>COUNTIF('Custody Chain'!$A:$A,A18)</f>
        <v/>
      </c>
      <c r="AH18" s="23">
        <f>COUNTIF(Photos!$A:$A,A18)</f>
        <v/>
      </c>
      <c r="AI18" s="23">
        <f>IF(((A18="")+(C18="")+(E18="")+(F18="")+(G18="")+(H18="")+(I18="")+(R18="")+(S18="")+(T18="")+(V18="")+(W18="")+(X18="")+(Y18=""))&gt;0,"Missing "&amp;((A18="")+(C18="")+(E18="")+(F18="")+(G18="")+(H18="")+(I18="")+(R18="")+(S18="")+(T18="")+(V18="")+(W18="")+(X18="")+(Y18=""))&amp;" required field(s)",IF(AG18=0,"Needs custody chain",IF(AH18&lt;3,"Needs photos","Complete")))</f>
        <v/>
      </c>
    </row>
    <row r="19" ht="18" customHeight="1">
      <c r="A19" s="22" t="inlineStr">
        <is>
          <t>016</t>
        </is>
      </c>
      <c r="B19" s="23">
        <f>IF(A19="","","https://diamond-nfc-experience.vercel.app/diamond/"&amp;A19)</f>
        <v/>
      </c>
      <c r="C19" s="24" t="inlineStr">
        <is>
          <t>Draft</t>
        </is>
      </c>
      <c r="D19" s="24" t="n"/>
      <c r="E19" s="24" t="n"/>
      <c r="F19" s="25" t="n"/>
      <c r="G19" s="24" t="n"/>
      <c r="H19" s="24" t="n"/>
      <c r="I19" s="24" t="n"/>
      <c r="J19" s="24" t="n"/>
      <c r="K19" s="24" t="n"/>
      <c r="L19" s="24" t="n"/>
      <c r="M19" s="24" t="n"/>
      <c r="N19" s="24" t="n"/>
      <c r="O19" s="26" t="n"/>
      <c r="P19" s="26" t="n"/>
      <c r="Q19" s="27" t="n"/>
      <c r="R19" s="22" t="n"/>
      <c r="S19" s="24" t="n"/>
      <c r="T19" s="24" t="n"/>
      <c r="U19" s="23">
        <f>IF(R19="","","https://www.gia.edu/report-check?reportno="&amp;R19)</f>
        <v/>
      </c>
      <c r="V19" s="24" t="n"/>
      <c r="W19" s="24" t="n"/>
      <c r="X19" s="24" t="n"/>
      <c r="Y19" s="24" t="n"/>
      <c r="Z19" s="25" t="n"/>
      <c r="AA19" s="24" t="n"/>
      <c r="AB19" s="24" t="n"/>
      <c r="AC19" s="28" t="n"/>
      <c r="AD19" s="28" t="n"/>
      <c r="AE19" s="27" t="n"/>
      <c r="AF19" s="27" t="n"/>
      <c r="AG19" s="23">
        <f>COUNTIF('Custody Chain'!$A:$A,A19)</f>
        <v/>
      </c>
      <c r="AH19" s="23">
        <f>COUNTIF(Photos!$A:$A,A19)</f>
        <v/>
      </c>
      <c r="AI19" s="23">
        <f>IF(((A19="")+(C19="")+(E19="")+(F19="")+(G19="")+(H19="")+(I19="")+(R19="")+(S19="")+(T19="")+(V19="")+(W19="")+(X19="")+(Y19=""))&gt;0,"Missing "&amp;((A19="")+(C19="")+(E19="")+(F19="")+(G19="")+(H19="")+(I19="")+(R19="")+(S19="")+(T19="")+(V19="")+(W19="")+(X19="")+(Y19=""))&amp;" required field(s)",IF(AG19=0,"Needs custody chain",IF(AH19&lt;3,"Needs photos","Complete")))</f>
        <v/>
      </c>
    </row>
    <row r="20" ht="18" customHeight="1">
      <c r="A20" s="22" t="inlineStr">
        <is>
          <t>017</t>
        </is>
      </c>
      <c r="B20" s="23">
        <f>IF(A20="","","https://diamond-nfc-experience.vercel.app/diamond/"&amp;A20)</f>
        <v/>
      </c>
      <c r="C20" s="24" t="inlineStr">
        <is>
          <t>Draft</t>
        </is>
      </c>
      <c r="D20" s="24" t="n"/>
      <c r="E20" s="24" t="n"/>
      <c r="F20" s="25" t="n"/>
      <c r="G20" s="24" t="n"/>
      <c r="H20" s="24" t="n"/>
      <c r="I20" s="24" t="n"/>
      <c r="J20" s="24" t="n"/>
      <c r="K20" s="24" t="n"/>
      <c r="L20" s="24" t="n"/>
      <c r="M20" s="24" t="n"/>
      <c r="N20" s="24" t="n"/>
      <c r="O20" s="26" t="n"/>
      <c r="P20" s="26" t="n"/>
      <c r="Q20" s="27" t="n"/>
      <c r="R20" s="22" t="n"/>
      <c r="S20" s="24" t="n"/>
      <c r="T20" s="24" t="n"/>
      <c r="U20" s="23">
        <f>IF(R20="","","https://www.gia.edu/report-check?reportno="&amp;R20)</f>
        <v/>
      </c>
      <c r="V20" s="24" t="n"/>
      <c r="W20" s="24" t="n"/>
      <c r="X20" s="24" t="n"/>
      <c r="Y20" s="24" t="n"/>
      <c r="Z20" s="25" t="n"/>
      <c r="AA20" s="24" t="n"/>
      <c r="AB20" s="24" t="n"/>
      <c r="AC20" s="28" t="n"/>
      <c r="AD20" s="28" t="n"/>
      <c r="AE20" s="27" t="n"/>
      <c r="AF20" s="27" t="n"/>
      <c r="AG20" s="23">
        <f>COUNTIF('Custody Chain'!$A:$A,A20)</f>
        <v/>
      </c>
      <c r="AH20" s="23">
        <f>COUNTIF(Photos!$A:$A,A20)</f>
        <v/>
      </c>
      <c r="AI20" s="23">
        <f>IF(((A20="")+(C20="")+(E20="")+(F20="")+(G20="")+(H20="")+(I20="")+(R20="")+(S20="")+(T20="")+(V20="")+(W20="")+(X20="")+(Y20=""))&gt;0,"Missing "&amp;((A20="")+(C20="")+(E20="")+(F20="")+(G20="")+(H20="")+(I20="")+(R20="")+(S20="")+(T20="")+(V20="")+(W20="")+(X20="")+(Y20=""))&amp;" required field(s)",IF(AG20=0,"Needs custody chain",IF(AH20&lt;3,"Needs photos","Complete")))</f>
        <v/>
      </c>
    </row>
    <row r="21" ht="18" customHeight="1">
      <c r="A21" s="22" t="inlineStr">
        <is>
          <t>018</t>
        </is>
      </c>
      <c r="B21" s="23">
        <f>IF(A21="","","https://diamond-nfc-experience.vercel.app/diamond/"&amp;A21)</f>
        <v/>
      </c>
      <c r="C21" s="24" t="inlineStr">
        <is>
          <t>Draft</t>
        </is>
      </c>
      <c r="D21" s="24" t="n"/>
      <c r="E21" s="24" t="n"/>
      <c r="F21" s="25" t="n"/>
      <c r="G21" s="24" t="n"/>
      <c r="H21" s="24" t="n"/>
      <c r="I21" s="24" t="n"/>
      <c r="J21" s="24" t="n"/>
      <c r="K21" s="24" t="n"/>
      <c r="L21" s="24" t="n"/>
      <c r="M21" s="24" t="n"/>
      <c r="N21" s="24" t="n"/>
      <c r="O21" s="26" t="n"/>
      <c r="P21" s="26" t="n"/>
      <c r="Q21" s="27" t="n"/>
      <c r="R21" s="22" t="n"/>
      <c r="S21" s="24" t="n"/>
      <c r="T21" s="24" t="n"/>
      <c r="U21" s="23">
        <f>IF(R21="","","https://www.gia.edu/report-check?reportno="&amp;R21)</f>
        <v/>
      </c>
      <c r="V21" s="24" t="n"/>
      <c r="W21" s="24" t="n"/>
      <c r="X21" s="24" t="n"/>
      <c r="Y21" s="24" t="n"/>
      <c r="Z21" s="25" t="n"/>
      <c r="AA21" s="24" t="n"/>
      <c r="AB21" s="24" t="n"/>
      <c r="AC21" s="28" t="n"/>
      <c r="AD21" s="28" t="n"/>
      <c r="AE21" s="27" t="n"/>
      <c r="AF21" s="27" t="n"/>
      <c r="AG21" s="23">
        <f>COUNTIF('Custody Chain'!$A:$A,A21)</f>
        <v/>
      </c>
      <c r="AH21" s="23">
        <f>COUNTIF(Photos!$A:$A,A21)</f>
        <v/>
      </c>
      <c r="AI21" s="23">
        <f>IF(((A21="")+(C21="")+(E21="")+(F21="")+(G21="")+(H21="")+(I21="")+(R21="")+(S21="")+(T21="")+(V21="")+(W21="")+(X21="")+(Y21=""))&gt;0,"Missing "&amp;((A21="")+(C21="")+(E21="")+(F21="")+(G21="")+(H21="")+(I21="")+(R21="")+(S21="")+(T21="")+(V21="")+(W21="")+(X21="")+(Y21=""))&amp;" required field(s)",IF(AG21=0,"Needs custody chain",IF(AH21&lt;3,"Needs photos","Complete")))</f>
        <v/>
      </c>
    </row>
    <row r="22" ht="18" customHeight="1">
      <c r="A22" s="22" t="inlineStr">
        <is>
          <t>019</t>
        </is>
      </c>
      <c r="B22" s="23">
        <f>IF(A22="","","https://diamond-nfc-experience.vercel.app/diamond/"&amp;A22)</f>
        <v/>
      </c>
      <c r="C22" s="24" t="inlineStr">
        <is>
          <t>Draft</t>
        </is>
      </c>
      <c r="D22" s="24" t="n"/>
      <c r="E22" s="24" t="n"/>
      <c r="F22" s="25" t="n"/>
      <c r="G22" s="24" t="n"/>
      <c r="H22" s="24" t="n"/>
      <c r="I22" s="24" t="n"/>
      <c r="J22" s="24" t="n"/>
      <c r="K22" s="24" t="n"/>
      <c r="L22" s="24" t="n"/>
      <c r="M22" s="24" t="n"/>
      <c r="N22" s="24" t="n"/>
      <c r="O22" s="26" t="n"/>
      <c r="P22" s="26" t="n"/>
      <c r="Q22" s="27" t="n"/>
      <c r="R22" s="22" t="n"/>
      <c r="S22" s="24" t="n"/>
      <c r="T22" s="24" t="n"/>
      <c r="U22" s="23">
        <f>IF(R22="","","https://www.gia.edu/report-check?reportno="&amp;R22)</f>
        <v/>
      </c>
      <c r="V22" s="24" t="n"/>
      <c r="W22" s="24" t="n"/>
      <c r="X22" s="24" t="n"/>
      <c r="Y22" s="24" t="n"/>
      <c r="Z22" s="25" t="n"/>
      <c r="AA22" s="24" t="n"/>
      <c r="AB22" s="24" t="n"/>
      <c r="AC22" s="28" t="n"/>
      <c r="AD22" s="28" t="n"/>
      <c r="AE22" s="27" t="n"/>
      <c r="AF22" s="27" t="n"/>
      <c r="AG22" s="23">
        <f>COUNTIF('Custody Chain'!$A:$A,A22)</f>
        <v/>
      </c>
      <c r="AH22" s="23">
        <f>COUNTIF(Photos!$A:$A,A22)</f>
        <v/>
      </c>
      <c r="AI22" s="23">
        <f>IF(((A22="")+(C22="")+(E22="")+(F22="")+(G22="")+(H22="")+(I22="")+(R22="")+(S22="")+(T22="")+(V22="")+(W22="")+(X22="")+(Y22=""))&gt;0,"Missing "&amp;((A22="")+(C22="")+(E22="")+(F22="")+(G22="")+(H22="")+(I22="")+(R22="")+(S22="")+(T22="")+(V22="")+(W22="")+(X22="")+(Y22=""))&amp;" required field(s)",IF(AG22=0,"Needs custody chain",IF(AH22&lt;3,"Needs photos","Complete")))</f>
        <v/>
      </c>
    </row>
    <row r="23" ht="18" customHeight="1">
      <c r="A23" s="22" t="inlineStr">
        <is>
          <t>020</t>
        </is>
      </c>
      <c r="B23" s="23">
        <f>IF(A23="","","https://diamond-nfc-experience.vercel.app/diamond/"&amp;A23)</f>
        <v/>
      </c>
      <c r="C23" s="24" t="inlineStr">
        <is>
          <t>Draft</t>
        </is>
      </c>
      <c r="D23" s="24" t="n"/>
      <c r="E23" s="24" t="n"/>
      <c r="F23" s="25" t="n"/>
      <c r="G23" s="24" t="n"/>
      <c r="H23" s="24" t="n"/>
      <c r="I23" s="24" t="n"/>
      <c r="J23" s="24" t="n"/>
      <c r="K23" s="24" t="n"/>
      <c r="L23" s="24" t="n"/>
      <c r="M23" s="24" t="n"/>
      <c r="N23" s="24" t="n"/>
      <c r="O23" s="26" t="n"/>
      <c r="P23" s="26" t="n"/>
      <c r="Q23" s="27" t="n"/>
      <c r="R23" s="22" t="n"/>
      <c r="S23" s="24" t="n"/>
      <c r="T23" s="24" t="n"/>
      <c r="U23" s="23">
        <f>IF(R23="","","https://www.gia.edu/report-check?reportno="&amp;R23)</f>
        <v/>
      </c>
      <c r="V23" s="24" t="n"/>
      <c r="W23" s="24" t="n"/>
      <c r="X23" s="24" t="n"/>
      <c r="Y23" s="24" t="n"/>
      <c r="Z23" s="25" t="n"/>
      <c r="AA23" s="24" t="n"/>
      <c r="AB23" s="24" t="n"/>
      <c r="AC23" s="28" t="n"/>
      <c r="AD23" s="28" t="n"/>
      <c r="AE23" s="27" t="n"/>
      <c r="AF23" s="27" t="n"/>
      <c r="AG23" s="23">
        <f>COUNTIF('Custody Chain'!$A:$A,A23)</f>
        <v/>
      </c>
      <c r="AH23" s="23">
        <f>COUNTIF(Photos!$A:$A,A23)</f>
        <v/>
      </c>
      <c r="AI23" s="23">
        <f>IF(((A23="")+(C23="")+(E23="")+(F23="")+(G23="")+(H23="")+(I23="")+(R23="")+(S23="")+(T23="")+(V23="")+(W23="")+(X23="")+(Y23=""))&gt;0,"Missing "&amp;((A23="")+(C23="")+(E23="")+(F23="")+(G23="")+(H23="")+(I23="")+(R23="")+(S23="")+(T23="")+(V23="")+(W23="")+(X23="")+(Y23=""))&amp;" required field(s)",IF(AG23=0,"Needs custody chain",IF(AH23&lt;3,"Needs photos","Complete")))</f>
        <v/>
      </c>
    </row>
    <row r="24" ht="18" customHeight="1">
      <c r="A24" s="22" t="inlineStr">
        <is>
          <t>021</t>
        </is>
      </c>
      <c r="B24" s="23">
        <f>IF(A24="","","https://diamond-nfc-experience.vercel.app/diamond/"&amp;A24)</f>
        <v/>
      </c>
      <c r="C24" s="24" t="inlineStr">
        <is>
          <t>Draft</t>
        </is>
      </c>
      <c r="D24" s="24" t="n"/>
      <c r="E24" s="24" t="n"/>
      <c r="F24" s="25" t="n"/>
      <c r="G24" s="24" t="n"/>
      <c r="H24" s="24" t="n"/>
      <c r="I24" s="24" t="n"/>
      <c r="J24" s="24" t="n"/>
      <c r="K24" s="24" t="n"/>
      <c r="L24" s="24" t="n"/>
      <c r="M24" s="24" t="n"/>
      <c r="N24" s="24" t="n"/>
      <c r="O24" s="26" t="n"/>
      <c r="P24" s="26" t="n"/>
      <c r="Q24" s="27" t="n"/>
      <c r="R24" s="22" t="n"/>
      <c r="S24" s="24" t="n"/>
      <c r="T24" s="24" t="n"/>
      <c r="U24" s="23">
        <f>IF(R24="","","https://www.gia.edu/report-check?reportno="&amp;R24)</f>
        <v/>
      </c>
      <c r="V24" s="24" t="n"/>
      <c r="W24" s="24" t="n"/>
      <c r="X24" s="24" t="n"/>
      <c r="Y24" s="24" t="n"/>
      <c r="Z24" s="25" t="n"/>
      <c r="AA24" s="24" t="n"/>
      <c r="AB24" s="24" t="n"/>
      <c r="AC24" s="28" t="n"/>
      <c r="AD24" s="28" t="n"/>
      <c r="AE24" s="27" t="n"/>
      <c r="AF24" s="27" t="n"/>
      <c r="AG24" s="23">
        <f>COUNTIF('Custody Chain'!$A:$A,A24)</f>
        <v/>
      </c>
      <c r="AH24" s="23">
        <f>COUNTIF(Photos!$A:$A,A24)</f>
        <v/>
      </c>
      <c r="AI24" s="23">
        <f>IF(((A24="")+(C24="")+(E24="")+(F24="")+(G24="")+(H24="")+(I24="")+(R24="")+(S24="")+(T24="")+(V24="")+(W24="")+(X24="")+(Y24=""))&gt;0,"Missing "&amp;((A24="")+(C24="")+(E24="")+(F24="")+(G24="")+(H24="")+(I24="")+(R24="")+(S24="")+(T24="")+(V24="")+(W24="")+(X24="")+(Y24=""))&amp;" required field(s)",IF(AG24=0,"Needs custody chain",IF(AH24&lt;3,"Needs photos","Complete")))</f>
        <v/>
      </c>
    </row>
    <row r="25" ht="18" customHeight="1">
      <c r="A25" s="22" t="inlineStr">
        <is>
          <t>022</t>
        </is>
      </c>
      <c r="B25" s="23">
        <f>IF(A25="","","https://diamond-nfc-experience.vercel.app/diamond/"&amp;A25)</f>
        <v/>
      </c>
      <c r="C25" s="24" t="inlineStr">
        <is>
          <t>Draft</t>
        </is>
      </c>
      <c r="D25" s="24" t="n"/>
      <c r="E25" s="24" t="n"/>
      <c r="F25" s="25" t="n"/>
      <c r="G25" s="24" t="n"/>
      <c r="H25" s="24" t="n"/>
      <c r="I25" s="24" t="n"/>
      <c r="J25" s="24" t="n"/>
      <c r="K25" s="24" t="n"/>
      <c r="L25" s="24" t="n"/>
      <c r="M25" s="24" t="n"/>
      <c r="N25" s="24" t="n"/>
      <c r="O25" s="26" t="n"/>
      <c r="P25" s="26" t="n"/>
      <c r="Q25" s="27" t="n"/>
      <c r="R25" s="22" t="n"/>
      <c r="S25" s="24" t="n"/>
      <c r="T25" s="24" t="n"/>
      <c r="U25" s="23">
        <f>IF(R25="","","https://www.gia.edu/report-check?reportno="&amp;R25)</f>
        <v/>
      </c>
      <c r="V25" s="24" t="n"/>
      <c r="W25" s="24" t="n"/>
      <c r="X25" s="24" t="n"/>
      <c r="Y25" s="24" t="n"/>
      <c r="Z25" s="25" t="n"/>
      <c r="AA25" s="24" t="n"/>
      <c r="AB25" s="24" t="n"/>
      <c r="AC25" s="28" t="n"/>
      <c r="AD25" s="28" t="n"/>
      <c r="AE25" s="27" t="n"/>
      <c r="AF25" s="27" t="n"/>
      <c r="AG25" s="23">
        <f>COUNTIF('Custody Chain'!$A:$A,A25)</f>
        <v/>
      </c>
      <c r="AH25" s="23">
        <f>COUNTIF(Photos!$A:$A,A25)</f>
        <v/>
      </c>
      <c r="AI25" s="23">
        <f>IF(((A25="")+(C25="")+(E25="")+(F25="")+(G25="")+(H25="")+(I25="")+(R25="")+(S25="")+(T25="")+(V25="")+(W25="")+(X25="")+(Y25=""))&gt;0,"Missing "&amp;((A25="")+(C25="")+(E25="")+(F25="")+(G25="")+(H25="")+(I25="")+(R25="")+(S25="")+(T25="")+(V25="")+(W25="")+(X25="")+(Y25=""))&amp;" required field(s)",IF(AG25=0,"Needs custody chain",IF(AH25&lt;3,"Needs photos","Complete")))</f>
        <v/>
      </c>
    </row>
    <row r="26" ht="18" customHeight="1">
      <c r="A26" s="22" t="inlineStr">
        <is>
          <t>023</t>
        </is>
      </c>
      <c r="B26" s="23">
        <f>IF(A26="","","https://diamond-nfc-experience.vercel.app/diamond/"&amp;A26)</f>
        <v/>
      </c>
      <c r="C26" s="24" t="inlineStr">
        <is>
          <t>Draft</t>
        </is>
      </c>
      <c r="D26" s="24" t="n"/>
      <c r="E26" s="24" t="n"/>
      <c r="F26" s="25" t="n"/>
      <c r="G26" s="24" t="n"/>
      <c r="H26" s="24" t="n"/>
      <c r="I26" s="24" t="n"/>
      <c r="J26" s="24" t="n"/>
      <c r="K26" s="24" t="n"/>
      <c r="L26" s="24" t="n"/>
      <c r="M26" s="24" t="n"/>
      <c r="N26" s="24" t="n"/>
      <c r="O26" s="26" t="n"/>
      <c r="P26" s="26" t="n"/>
      <c r="Q26" s="27" t="n"/>
      <c r="R26" s="22" t="n"/>
      <c r="S26" s="24" t="n"/>
      <c r="T26" s="24" t="n"/>
      <c r="U26" s="23">
        <f>IF(R26="","","https://www.gia.edu/report-check?reportno="&amp;R26)</f>
        <v/>
      </c>
      <c r="V26" s="24" t="n"/>
      <c r="W26" s="24" t="n"/>
      <c r="X26" s="24" t="n"/>
      <c r="Y26" s="24" t="n"/>
      <c r="Z26" s="25" t="n"/>
      <c r="AA26" s="24" t="n"/>
      <c r="AB26" s="24" t="n"/>
      <c r="AC26" s="28" t="n"/>
      <c r="AD26" s="28" t="n"/>
      <c r="AE26" s="27" t="n"/>
      <c r="AF26" s="27" t="n"/>
      <c r="AG26" s="23">
        <f>COUNTIF('Custody Chain'!$A:$A,A26)</f>
        <v/>
      </c>
      <c r="AH26" s="23">
        <f>COUNTIF(Photos!$A:$A,A26)</f>
        <v/>
      </c>
      <c r="AI26" s="23">
        <f>IF(((A26="")+(C26="")+(E26="")+(F26="")+(G26="")+(H26="")+(I26="")+(R26="")+(S26="")+(T26="")+(V26="")+(W26="")+(X26="")+(Y26=""))&gt;0,"Missing "&amp;((A26="")+(C26="")+(E26="")+(F26="")+(G26="")+(H26="")+(I26="")+(R26="")+(S26="")+(T26="")+(V26="")+(W26="")+(X26="")+(Y26=""))&amp;" required field(s)",IF(AG26=0,"Needs custody chain",IF(AH26&lt;3,"Needs photos","Complete")))</f>
        <v/>
      </c>
    </row>
    <row r="27" ht="18" customHeight="1">
      <c r="A27" s="22" t="inlineStr">
        <is>
          <t>024</t>
        </is>
      </c>
      <c r="B27" s="23">
        <f>IF(A27="","","https://diamond-nfc-experience.vercel.app/diamond/"&amp;A27)</f>
        <v/>
      </c>
      <c r="C27" s="24" t="inlineStr">
        <is>
          <t>Draft</t>
        </is>
      </c>
      <c r="D27" s="24" t="n"/>
      <c r="E27" s="24" t="n"/>
      <c r="F27" s="25" t="n"/>
      <c r="G27" s="24" t="n"/>
      <c r="H27" s="24" t="n"/>
      <c r="I27" s="24" t="n"/>
      <c r="J27" s="24" t="n"/>
      <c r="K27" s="24" t="n"/>
      <c r="L27" s="24" t="n"/>
      <c r="M27" s="24" t="n"/>
      <c r="N27" s="24" t="n"/>
      <c r="O27" s="26" t="n"/>
      <c r="P27" s="26" t="n"/>
      <c r="Q27" s="27" t="n"/>
      <c r="R27" s="22" t="n"/>
      <c r="S27" s="24" t="n"/>
      <c r="T27" s="24" t="n"/>
      <c r="U27" s="23">
        <f>IF(R27="","","https://www.gia.edu/report-check?reportno="&amp;R27)</f>
        <v/>
      </c>
      <c r="V27" s="24" t="n"/>
      <c r="W27" s="24" t="n"/>
      <c r="X27" s="24" t="n"/>
      <c r="Y27" s="24" t="n"/>
      <c r="Z27" s="25" t="n"/>
      <c r="AA27" s="24" t="n"/>
      <c r="AB27" s="24" t="n"/>
      <c r="AC27" s="28" t="n"/>
      <c r="AD27" s="28" t="n"/>
      <c r="AE27" s="27" t="n"/>
      <c r="AF27" s="27" t="n"/>
      <c r="AG27" s="23">
        <f>COUNTIF('Custody Chain'!$A:$A,A27)</f>
        <v/>
      </c>
      <c r="AH27" s="23">
        <f>COUNTIF(Photos!$A:$A,A27)</f>
        <v/>
      </c>
      <c r="AI27" s="23">
        <f>IF(((A27="")+(C27="")+(E27="")+(F27="")+(G27="")+(H27="")+(I27="")+(R27="")+(S27="")+(T27="")+(V27="")+(W27="")+(X27="")+(Y27=""))&gt;0,"Missing "&amp;((A27="")+(C27="")+(E27="")+(F27="")+(G27="")+(H27="")+(I27="")+(R27="")+(S27="")+(T27="")+(V27="")+(W27="")+(X27="")+(Y27=""))&amp;" required field(s)",IF(AG27=0,"Needs custody chain",IF(AH27&lt;3,"Needs photos","Complete")))</f>
        <v/>
      </c>
    </row>
    <row r="28" ht="18" customHeight="1">
      <c r="A28" s="22" t="inlineStr">
        <is>
          <t>025</t>
        </is>
      </c>
      <c r="B28" s="23">
        <f>IF(A28="","","https://diamond-nfc-experience.vercel.app/diamond/"&amp;A28)</f>
        <v/>
      </c>
      <c r="C28" s="24" t="inlineStr">
        <is>
          <t>Draft</t>
        </is>
      </c>
      <c r="D28" s="24" t="n"/>
      <c r="E28" s="24" t="n"/>
      <c r="F28" s="25" t="n"/>
      <c r="G28" s="24" t="n"/>
      <c r="H28" s="24" t="n"/>
      <c r="I28" s="24" t="n"/>
      <c r="J28" s="24" t="n"/>
      <c r="K28" s="24" t="n"/>
      <c r="L28" s="24" t="n"/>
      <c r="M28" s="24" t="n"/>
      <c r="N28" s="24" t="n"/>
      <c r="O28" s="26" t="n"/>
      <c r="P28" s="26" t="n"/>
      <c r="Q28" s="27" t="n"/>
      <c r="R28" s="22" t="n"/>
      <c r="S28" s="24" t="n"/>
      <c r="T28" s="24" t="n"/>
      <c r="U28" s="23">
        <f>IF(R28="","","https://www.gia.edu/report-check?reportno="&amp;R28)</f>
        <v/>
      </c>
      <c r="V28" s="24" t="n"/>
      <c r="W28" s="24" t="n"/>
      <c r="X28" s="24" t="n"/>
      <c r="Y28" s="24" t="n"/>
      <c r="Z28" s="25" t="n"/>
      <c r="AA28" s="24" t="n"/>
      <c r="AB28" s="24" t="n"/>
      <c r="AC28" s="28" t="n"/>
      <c r="AD28" s="28" t="n"/>
      <c r="AE28" s="27" t="n"/>
      <c r="AF28" s="27" t="n"/>
      <c r="AG28" s="23">
        <f>COUNTIF('Custody Chain'!$A:$A,A28)</f>
        <v/>
      </c>
      <c r="AH28" s="23">
        <f>COUNTIF(Photos!$A:$A,A28)</f>
        <v/>
      </c>
      <c r="AI28" s="23">
        <f>IF(((A28="")+(C28="")+(E28="")+(F28="")+(G28="")+(H28="")+(I28="")+(R28="")+(S28="")+(T28="")+(V28="")+(W28="")+(X28="")+(Y28=""))&gt;0,"Missing "&amp;((A28="")+(C28="")+(E28="")+(F28="")+(G28="")+(H28="")+(I28="")+(R28="")+(S28="")+(T28="")+(V28="")+(W28="")+(X28="")+(Y28=""))&amp;" required field(s)",IF(AG28=0,"Needs custody chain",IF(AH28&lt;3,"Needs photos","Complete")))</f>
        <v/>
      </c>
    </row>
    <row r="29" ht="18" customHeight="1">
      <c r="A29" s="22" t="inlineStr">
        <is>
          <t>026</t>
        </is>
      </c>
      <c r="B29" s="23">
        <f>IF(A29="","","https://diamond-nfc-experience.vercel.app/diamond/"&amp;A29)</f>
        <v/>
      </c>
      <c r="C29" s="24" t="inlineStr">
        <is>
          <t>Draft</t>
        </is>
      </c>
      <c r="D29" s="24" t="n"/>
      <c r="E29" s="24" t="n"/>
      <c r="F29" s="25" t="n"/>
      <c r="G29" s="24" t="n"/>
      <c r="H29" s="24" t="n"/>
      <c r="I29" s="24" t="n"/>
      <c r="J29" s="24" t="n"/>
      <c r="K29" s="24" t="n"/>
      <c r="L29" s="24" t="n"/>
      <c r="M29" s="24" t="n"/>
      <c r="N29" s="24" t="n"/>
      <c r="O29" s="26" t="n"/>
      <c r="P29" s="26" t="n"/>
      <c r="Q29" s="27" t="n"/>
      <c r="R29" s="22" t="n"/>
      <c r="S29" s="24" t="n"/>
      <c r="T29" s="24" t="n"/>
      <c r="U29" s="23">
        <f>IF(R29="","","https://www.gia.edu/report-check?reportno="&amp;R29)</f>
        <v/>
      </c>
      <c r="V29" s="24" t="n"/>
      <c r="W29" s="24" t="n"/>
      <c r="X29" s="24" t="n"/>
      <c r="Y29" s="24" t="n"/>
      <c r="Z29" s="25" t="n"/>
      <c r="AA29" s="24" t="n"/>
      <c r="AB29" s="24" t="n"/>
      <c r="AC29" s="28" t="n"/>
      <c r="AD29" s="28" t="n"/>
      <c r="AE29" s="27" t="n"/>
      <c r="AF29" s="27" t="n"/>
      <c r="AG29" s="23">
        <f>COUNTIF('Custody Chain'!$A:$A,A29)</f>
        <v/>
      </c>
      <c r="AH29" s="23">
        <f>COUNTIF(Photos!$A:$A,A29)</f>
        <v/>
      </c>
      <c r="AI29" s="23">
        <f>IF(((A29="")+(C29="")+(E29="")+(F29="")+(G29="")+(H29="")+(I29="")+(R29="")+(S29="")+(T29="")+(V29="")+(W29="")+(X29="")+(Y29=""))&gt;0,"Missing "&amp;((A29="")+(C29="")+(E29="")+(F29="")+(G29="")+(H29="")+(I29="")+(R29="")+(S29="")+(T29="")+(V29="")+(W29="")+(X29="")+(Y29=""))&amp;" required field(s)",IF(AG29=0,"Needs custody chain",IF(AH29&lt;3,"Needs photos","Complete")))</f>
        <v/>
      </c>
    </row>
    <row r="30" ht="18" customHeight="1">
      <c r="A30" s="22" t="inlineStr">
        <is>
          <t>027</t>
        </is>
      </c>
      <c r="B30" s="23">
        <f>IF(A30="","","https://diamond-nfc-experience.vercel.app/diamond/"&amp;A30)</f>
        <v/>
      </c>
      <c r="C30" s="24" t="inlineStr">
        <is>
          <t>Draft</t>
        </is>
      </c>
      <c r="D30" s="24" t="n"/>
      <c r="E30" s="24" t="n"/>
      <c r="F30" s="25" t="n"/>
      <c r="G30" s="24" t="n"/>
      <c r="H30" s="24" t="n"/>
      <c r="I30" s="24" t="n"/>
      <c r="J30" s="24" t="n"/>
      <c r="K30" s="24" t="n"/>
      <c r="L30" s="24" t="n"/>
      <c r="M30" s="24" t="n"/>
      <c r="N30" s="24" t="n"/>
      <c r="O30" s="26" t="n"/>
      <c r="P30" s="26" t="n"/>
      <c r="Q30" s="27" t="n"/>
      <c r="R30" s="22" t="n"/>
      <c r="S30" s="24" t="n"/>
      <c r="T30" s="24" t="n"/>
      <c r="U30" s="23">
        <f>IF(R30="","","https://www.gia.edu/report-check?reportno="&amp;R30)</f>
        <v/>
      </c>
      <c r="V30" s="24" t="n"/>
      <c r="W30" s="24" t="n"/>
      <c r="X30" s="24" t="n"/>
      <c r="Y30" s="24" t="n"/>
      <c r="Z30" s="25" t="n"/>
      <c r="AA30" s="24" t="n"/>
      <c r="AB30" s="24" t="n"/>
      <c r="AC30" s="28" t="n"/>
      <c r="AD30" s="28" t="n"/>
      <c r="AE30" s="27" t="n"/>
      <c r="AF30" s="27" t="n"/>
      <c r="AG30" s="23">
        <f>COUNTIF('Custody Chain'!$A:$A,A30)</f>
        <v/>
      </c>
      <c r="AH30" s="23">
        <f>COUNTIF(Photos!$A:$A,A30)</f>
        <v/>
      </c>
      <c r="AI30" s="23">
        <f>IF(((A30="")+(C30="")+(E30="")+(F30="")+(G30="")+(H30="")+(I30="")+(R30="")+(S30="")+(T30="")+(V30="")+(W30="")+(X30="")+(Y30=""))&gt;0,"Missing "&amp;((A30="")+(C30="")+(E30="")+(F30="")+(G30="")+(H30="")+(I30="")+(R30="")+(S30="")+(T30="")+(V30="")+(W30="")+(X30="")+(Y30=""))&amp;" required field(s)",IF(AG30=0,"Needs custody chain",IF(AH30&lt;3,"Needs photos","Complete")))</f>
        <v/>
      </c>
    </row>
    <row r="31" ht="18" customHeight="1">
      <c r="A31" s="22" t="inlineStr">
        <is>
          <t>028</t>
        </is>
      </c>
      <c r="B31" s="23">
        <f>IF(A31="","","https://diamond-nfc-experience.vercel.app/diamond/"&amp;A31)</f>
        <v/>
      </c>
      <c r="C31" s="24" t="inlineStr">
        <is>
          <t>Draft</t>
        </is>
      </c>
      <c r="D31" s="24" t="n"/>
      <c r="E31" s="24" t="n"/>
      <c r="F31" s="25" t="n"/>
      <c r="G31" s="24" t="n"/>
      <c r="H31" s="24" t="n"/>
      <c r="I31" s="24" t="n"/>
      <c r="J31" s="24" t="n"/>
      <c r="K31" s="24" t="n"/>
      <c r="L31" s="24" t="n"/>
      <c r="M31" s="24" t="n"/>
      <c r="N31" s="24" t="n"/>
      <c r="O31" s="26" t="n"/>
      <c r="P31" s="26" t="n"/>
      <c r="Q31" s="27" t="n"/>
      <c r="R31" s="22" t="n"/>
      <c r="S31" s="24" t="n"/>
      <c r="T31" s="24" t="n"/>
      <c r="U31" s="23">
        <f>IF(R31="","","https://www.gia.edu/report-check?reportno="&amp;R31)</f>
        <v/>
      </c>
      <c r="V31" s="24" t="n"/>
      <c r="W31" s="24" t="n"/>
      <c r="X31" s="24" t="n"/>
      <c r="Y31" s="24" t="n"/>
      <c r="Z31" s="25" t="n"/>
      <c r="AA31" s="24" t="n"/>
      <c r="AB31" s="24" t="n"/>
      <c r="AC31" s="28" t="n"/>
      <c r="AD31" s="28" t="n"/>
      <c r="AE31" s="27" t="n"/>
      <c r="AF31" s="27" t="n"/>
      <c r="AG31" s="23">
        <f>COUNTIF('Custody Chain'!$A:$A,A31)</f>
        <v/>
      </c>
      <c r="AH31" s="23">
        <f>COUNTIF(Photos!$A:$A,A31)</f>
        <v/>
      </c>
      <c r="AI31" s="23">
        <f>IF(((A31="")+(C31="")+(E31="")+(F31="")+(G31="")+(H31="")+(I31="")+(R31="")+(S31="")+(T31="")+(V31="")+(W31="")+(X31="")+(Y31=""))&gt;0,"Missing "&amp;((A31="")+(C31="")+(E31="")+(F31="")+(G31="")+(H31="")+(I31="")+(R31="")+(S31="")+(T31="")+(V31="")+(W31="")+(X31="")+(Y31=""))&amp;" required field(s)",IF(AG31=0,"Needs custody chain",IF(AH31&lt;3,"Needs photos","Complete")))</f>
        <v/>
      </c>
    </row>
    <row r="32" ht="18" customHeight="1">
      <c r="A32" s="22" t="inlineStr">
        <is>
          <t>029</t>
        </is>
      </c>
      <c r="B32" s="23">
        <f>IF(A32="","","https://diamond-nfc-experience.vercel.app/diamond/"&amp;A32)</f>
        <v/>
      </c>
      <c r="C32" s="24" t="inlineStr">
        <is>
          <t>Draft</t>
        </is>
      </c>
      <c r="D32" s="24" t="n"/>
      <c r="E32" s="24" t="n"/>
      <c r="F32" s="25" t="n"/>
      <c r="G32" s="24" t="n"/>
      <c r="H32" s="24" t="n"/>
      <c r="I32" s="24" t="n"/>
      <c r="J32" s="24" t="n"/>
      <c r="K32" s="24" t="n"/>
      <c r="L32" s="24" t="n"/>
      <c r="M32" s="24" t="n"/>
      <c r="N32" s="24" t="n"/>
      <c r="O32" s="26" t="n"/>
      <c r="P32" s="26" t="n"/>
      <c r="Q32" s="27" t="n"/>
      <c r="R32" s="22" t="n"/>
      <c r="S32" s="24" t="n"/>
      <c r="T32" s="24" t="n"/>
      <c r="U32" s="23">
        <f>IF(R32="","","https://www.gia.edu/report-check?reportno="&amp;R32)</f>
        <v/>
      </c>
      <c r="V32" s="24" t="n"/>
      <c r="W32" s="24" t="n"/>
      <c r="X32" s="24" t="n"/>
      <c r="Y32" s="24" t="n"/>
      <c r="Z32" s="25" t="n"/>
      <c r="AA32" s="24" t="n"/>
      <c r="AB32" s="24" t="n"/>
      <c r="AC32" s="28" t="n"/>
      <c r="AD32" s="28" t="n"/>
      <c r="AE32" s="27" t="n"/>
      <c r="AF32" s="27" t="n"/>
      <c r="AG32" s="23">
        <f>COUNTIF('Custody Chain'!$A:$A,A32)</f>
        <v/>
      </c>
      <c r="AH32" s="23">
        <f>COUNTIF(Photos!$A:$A,A32)</f>
        <v/>
      </c>
      <c r="AI32" s="23">
        <f>IF(((A32="")+(C32="")+(E32="")+(F32="")+(G32="")+(H32="")+(I32="")+(R32="")+(S32="")+(T32="")+(V32="")+(W32="")+(X32="")+(Y32=""))&gt;0,"Missing "&amp;((A32="")+(C32="")+(E32="")+(F32="")+(G32="")+(H32="")+(I32="")+(R32="")+(S32="")+(T32="")+(V32="")+(W32="")+(X32="")+(Y32=""))&amp;" required field(s)",IF(AG32=0,"Needs custody chain",IF(AH32&lt;3,"Needs photos","Complete")))</f>
        <v/>
      </c>
    </row>
    <row r="33" ht="18" customHeight="1">
      <c r="A33" s="22" t="inlineStr">
        <is>
          <t>030</t>
        </is>
      </c>
      <c r="B33" s="23">
        <f>IF(A33="","","https://diamond-nfc-experience.vercel.app/diamond/"&amp;A33)</f>
        <v/>
      </c>
      <c r="C33" s="24" t="inlineStr">
        <is>
          <t>Draft</t>
        </is>
      </c>
      <c r="D33" s="24" t="n"/>
      <c r="E33" s="24" t="n"/>
      <c r="F33" s="25" t="n"/>
      <c r="G33" s="24" t="n"/>
      <c r="H33" s="24" t="n"/>
      <c r="I33" s="24" t="n"/>
      <c r="J33" s="24" t="n"/>
      <c r="K33" s="24" t="n"/>
      <c r="L33" s="24" t="n"/>
      <c r="M33" s="24" t="n"/>
      <c r="N33" s="24" t="n"/>
      <c r="O33" s="26" t="n"/>
      <c r="P33" s="26" t="n"/>
      <c r="Q33" s="27" t="n"/>
      <c r="R33" s="22" t="n"/>
      <c r="S33" s="24" t="n"/>
      <c r="T33" s="24" t="n"/>
      <c r="U33" s="23">
        <f>IF(R33="","","https://www.gia.edu/report-check?reportno="&amp;R33)</f>
        <v/>
      </c>
      <c r="V33" s="24" t="n"/>
      <c r="W33" s="24" t="n"/>
      <c r="X33" s="24" t="n"/>
      <c r="Y33" s="24" t="n"/>
      <c r="Z33" s="25" t="n"/>
      <c r="AA33" s="24" t="n"/>
      <c r="AB33" s="24" t="n"/>
      <c r="AC33" s="28" t="n"/>
      <c r="AD33" s="28" t="n"/>
      <c r="AE33" s="27" t="n"/>
      <c r="AF33" s="27" t="n"/>
      <c r="AG33" s="23">
        <f>COUNTIF('Custody Chain'!$A:$A,A33)</f>
        <v/>
      </c>
      <c r="AH33" s="23">
        <f>COUNTIF(Photos!$A:$A,A33)</f>
        <v/>
      </c>
      <c r="AI33" s="23">
        <f>IF(((A33="")+(C33="")+(E33="")+(F33="")+(G33="")+(H33="")+(I33="")+(R33="")+(S33="")+(T33="")+(V33="")+(W33="")+(X33="")+(Y33=""))&gt;0,"Missing "&amp;((A33="")+(C33="")+(E33="")+(F33="")+(G33="")+(H33="")+(I33="")+(R33="")+(S33="")+(T33="")+(V33="")+(W33="")+(X33="")+(Y33=""))&amp;" required field(s)",IF(AG33=0,"Needs custody chain",IF(AH33&lt;3,"Needs photos","Complete")))</f>
        <v/>
      </c>
    </row>
    <row r="34" ht="18" customHeight="1">
      <c r="A34" s="22" t="inlineStr">
        <is>
          <t>031</t>
        </is>
      </c>
      <c r="B34" s="23">
        <f>IF(A34="","","https://diamond-nfc-experience.vercel.app/diamond/"&amp;A34)</f>
        <v/>
      </c>
      <c r="C34" s="24" t="inlineStr">
        <is>
          <t>Draft</t>
        </is>
      </c>
      <c r="D34" s="24" t="n"/>
      <c r="E34" s="24" t="n"/>
      <c r="F34" s="25" t="n"/>
      <c r="G34" s="24" t="n"/>
      <c r="H34" s="24" t="n"/>
      <c r="I34" s="24" t="n"/>
      <c r="J34" s="24" t="n"/>
      <c r="K34" s="24" t="n"/>
      <c r="L34" s="24" t="n"/>
      <c r="M34" s="24" t="n"/>
      <c r="N34" s="24" t="n"/>
      <c r="O34" s="26" t="n"/>
      <c r="P34" s="26" t="n"/>
      <c r="Q34" s="27" t="n"/>
      <c r="R34" s="22" t="n"/>
      <c r="S34" s="24" t="n"/>
      <c r="T34" s="24" t="n"/>
      <c r="U34" s="23">
        <f>IF(R34="","","https://www.gia.edu/report-check?reportno="&amp;R34)</f>
        <v/>
      </c>
      <c r="V34" s="24" t="n"/>
      <c r="W34" s="24" t="n"/>
      <c r="X34" s="24" t="n"/>
      <c r="Y34" s="24" t="n"/>
      <c r="Z34" s="25" t="n"/>
      <c r="AA34" s="24" t="n"/>
      <c r="AB34" s="24" t="n"/>
      <c r="AC34" s="28" t="n"/>
      <c r="AD34" s="28" t="n"/>
      <c r="AE34" s="27" t="n"/>
      <c r="AF34" s="27" t="n"/>
      <c r="AG34" s="23">
        <f>COUNTIF('Custody Chain'!$A:$A,A34)</f>
        <v/>
      </c>
      <c r="AH34" s="23">
        <f>COUNTIF(Photos!$A:$A,A34)</f>
        <v/>
      </c>
      <c r="AI34" s="23">
        <f>IF(((A34="")+(C34="")+(E34="")+(F34="")+(G34="")+(H34="")+(I34="")+(R34="")+(S34="")+(T34="")+(V34="")+(W34="")+(X34="")+(Y34=""))&gt;0,"Missing "&amp;((A34="")+(C34="")+(E34="")+(F34="")+(G34="")+(H34="")+(I34="")+(R34="")+(S34="")+(T34="")+(V34="")+(W34="")+(X34="")+(Y34=""))&amp;" required field(s)",IF(AG34=0,"Needs custody chain",IF(AH34&lt;3,"Needs photos","Complete")))</f>
        <v/>
      </c>
    </row>
    <row r="35" ht="18" customHeight="1">
      <c r="A35" s="22" t="inlineStr">
        <is>
          <t>032</t>
        </is>
      </c>
      <c r="B35" s="23">
        <f>IF(A35="","","https://diamond-nfc-experience.vercel.app/diamond/"&amp;A35)</f>
        <v/>
      </c>
      <c r="C35" s="24" t="inlineStr">
        <is>
          <t>Draft</t>
        </is>
      </c>
      <c r="D35" s="24" t="n"/>
      <c r="E35" s="24" t="n"/>
      <c r="F35" s="25" t="n"/>
      <c r="G35" s="24" t="n"/>
      <c r="H35" s="24" t="n"/>
      <c r="I35" s="24" t="n"/>
      <c r="J35" s="24" t="n"/>
      <c r="K35" s="24" t="n"/>
      <c r="L35" s="24" t="n"/>
      <c r="M35" s="24" t="n"/>
      <c r="N35" s="24" t="n"/>
      <c r="O35" s="26" t="n"/>
      <c r="P35" s="26" t="n"/>
      <c r="Q35" s="27" t="n"/>
      <c r="R35" s="22" t="n"/>
      <c r="S35" s="24" t="n"/>
      <c r="T35" s="24" t="n"/>
      <c r="U35" s="23">
        <f>IF(R35="","","https://www.gia.edu/report-check?reportno="&amp;R35)</f>
        <v/>
      </c>
      <c r="V35" s="24" t="n"/>
      <c r="W35" s="24" t="n"/>
      <c r="X35" s="24" t="n"/>
      <c r="Y35" s="24" t="n"/>
      <c r="Z35" s="25" t="n"/>
      <c r="AA35" s="24" t="n"/>
      <c r="AB35" s="24" t="n"/>
      <c r="AC35" s="28" t="n"/>
      <c r="AD35" s="28" t="n"/>
      <c r="AE35" s="27" t="n"/>
      <c r="AF35" s="27" t="n"/>
      <c r="AG35" s="23">
        <f>COUNTIF('Custody Chain'!$A:$A,A35)</f>
        <v/>
      </c>
      <c r="AH35" s="23">
        <f>COUNTIF(Photos!$A:$A,A35)</f>
        <v/>
      </c>
      <c r="AI35" s="23">
        <f>IF(((A35="")+(C35="")+(E35="")+(F35="")+(G35="")+(H35="")+(I35="")+(R35="")+(S35="")+(T35="")+(V35="")+(W35="")+(X35="")+(Y35=""))&gt;0,"Missing "&amp;((A35="")+(C35="")+(E35="")+(F35="")+(G35="")+(H35="")+(I35="")+(R35="")+(S35="")+(T35="")+(V35="")+(W35="")+(X35="")+(Y35=""))&amp;" required field(s)",IF(AG35=0,"Needs custody chain",IF(AH35&lt;3,"Needs photos","Complete")))</f>
        <v/>
      </c>
    </row>
    <row r="36" ht="18" customHeight="1">
      <c r="A36" s="22" t="inlineStr">
        <is>
          <t>033</t>
        </is>
      </c>
      <c r="B36" s="23">
        <f>IF(A36="","","https://diamond-nfc-experience.vercel.app/diamond/"&amp;A36)</f>
        <v/>
      </c>
      <c r="C36" s="24" t="inlineStr">
        <is>
          <t>Draft</t>
        </is>
      </c>
      <c r="D36" s="24" t="n"/>
      <c r="E36" s="24" t="n"/>
      <c r="F36" s="25" t="n"/>
      <c r="G36" s="24" t="n"/>
      <c r="H36" s="24" t="n"/>
      <c r="I36" s="24" t="n"/>
      <c r="J36" s="24" t="n"/>
      <c r="K36" s="24" t="n"/>
      <c r="L36" s="24" t="n"/>
      <c r="M36" s="24" t="n"/>
      <c r="N36" s="24" t="n"/>
      <c r="O36" s="26" t="n"/>
      <c r="P36" s="26" t="n"/>
      <c r="Q36" s="27" t="n"/>
      <c r="R36" s="22" t="n"/>
      <c r="S36" s="24" t="n"/>
      <c r="T36" s="24" t="n"/>
      <c r="U36" s="23">
        <f>IF(R36="","","https://www.gia.edu/report-check?reportno="&amp;R36)</f>
        <v/>
      </c>
      <c r="V36" s="24" t="n"/>
      <c r="W36" s="24" t="n"/>
      <c r="X36" s="24" t="n"/>
      <c r="Y36" s="24" t="n"/>
      <c r="Z36" s="25" t="n"/>
      <c r="AA36" s="24" t="n"/>
      <c r="AB36" s="24" t="n"/>
      <c r="AC36" s="28" t="n"/>
      <c r="AD36" s="28" t="n"/>
      <c r="AE36" s="27" t="n"/>
      <c r="AF36" s="27" t="n"/>
      <c r="AG36" s="23">
        <f>COUNTIF('Custody Chain'!$A:$A,A36)</f>
        <v/>
      </c>
      <c r="AH36" s="23">
        <f>COUNTIF(Photos!$A:$A,A36)</f>
        <v/>
      </c>
      <c r="AI36" s="23">
        <f>IF(((A36="")+(C36="")+(E36="")+(F36="")+(G36="")+(H36="")+(I36="")+(R36="")+(S36="")+(T36="")+(V36="")+(W36="")+(X36="")+(Y36=""))&gt;0,"Missing "&amp;((A36="")+(C36="")+(E36="")+(F36="")+(G36="")+(H36="")+(I36="")+(R36="")+(S36="")+(T36="")+(V36="")+(W36="")+(X36="")+(Y36=""))&amp;" required field(s)",IF(AG36=0,"Needs custody chain",IF(AH36&lt;3,"Needs photos","Complete")))</f>
        <v/>
      </c>
    </row>
    <row r="37" ht="18" customHeight="1">
      <c r="A37" s="22" t="inlineStr">
        <is>
          <t>034</t>
        </is>
      </c>
      <c r="B37" s="23">
        <f>IF(A37="","","https://diamond-nfc-experience.vercel.app/diamond/"&amp;A37)</f>
        <v/>
      </c>
      <c r="C37" s="24" t="inlineStr">
        <is>
          <t>Draft</t>
        </is>
      </c>
      <c r="D37" s="24" t="n"/>
      <c r="E37" s="24" t="n"/>
      <c r="F37" s="25" t="n"/>
      <c r="G37" s="24" t="n"/>
      <c r="H37" s="24" t="n"/>
      <c r="I37" s="24" t="n"/>
      <c r="J37" s="24" t="n"/>
      <c r="K37" s="24" t="n"/>
      <c r="L37" s="24" t="n"/>
      <c r="M37" s="24" t="n"/>
      <c r="N37" s="24" t="n"/>
      <c r="O37" s="26" t="n"/>
      <c r="P37" s="26" t="n"/>
      <c r="Q37" s="27" t="n"/>
      <c r="R37" s="22" t="n"/>
      <c r="S37" s="24" t="n"/>
      <c r="T37" s="24" t="n"/>
      <c r="U37" s="23">
        <f>IF(R37="","","https://www.gia.edu/report-check?reportno="&amp;R37)</f>
        <v/>
      </c>
      <c r="V37" s="24" t="n"/>
      <c r="W37" s="24" t="n"/>
      <c r="X37" s="24" t="n"/>
      <c r="Y37" s="24" t="n"/>
      <c r="Z37" s="25" t="n"/>
      <c r="AA37" s="24" t="n"/>
      <c r="AB37" s="24" t="n"/>
      <c r="AC37" s="28" t="n"/>
      <c r="AD37" s="28" t="n"/>
      <c r="AE37" s="27" t="n"/>
      <c r="AF37" s="27" t="n"/>
      <c r="AG37" s="23">
        <f>COUNTIF('Custody Chain'!$A:$A,A37)</f>
        <v/>
      </c>
      <c r="AH37" s="23">
        <f>COUNTIF(Photos!$A:$A,A37)</f>
        <v/>
      </c>
      <c r="AI37" s="23">
        <f>IF(((A37="")+(C37="")+(E37="")+(F37="")+(G37="")+(H37="")+(I37="")+(R37="")+(S37="")+(T37="")+(V37="")+(W37="")+(X37="")+(Y37=""))&gt;0,"Missing "&amp;((A37="")+(C37="")+(E37="")+(F37="")+(G37="")+(H37="")+(I37="")+(R37="")+(S37="")+(T37="")+(V37="")+(W37="")+(X37="")+(Y37=""))&amp;" required field(s)",IF(AG37=0,"Needs custody chain",IF(AH37&lt;3,"Needs photos","Complete")))</f>
        <v/>
      </c>
    </row>
    <row r="38" ht="18" customHeight="1">
      <c r="A38" s="22" t="inlineStr">
        <is>
          <t>035</t>
        </is>
      </c>
      <c r="B38" s="23">
        <f>IF(A38="","","https://diamond-nfc-experience.vercel.app/diamond/"&amp;A38)</f>
        <v/>
      </c>
      <c r="C38" s="24" t="inlineStr">
        <is>
          <t>Draft</t>
        </is>
      </c>
      <c r="D38" s="24" t="n"/>
      <c r="E38" s="24" t="n"/>
      <c r="F38" s="25" t="n"/>
      <c r="G38" s="24" t="n"/>
      <c r="H38" s="24" t="n"/>
      <c r="I38" s="24" t="n"/>
      <c r="J38" s="24" t="n"/>
      <c r="K38" s="24" t="n"/>
      <c r="L38" s="24" t="n"/>
      <c r="M38" s="24" t="n"/>
      <c r="N38" s="24" t="n"/>
      <c r="O38" s="26" t="n"/>
      <c r="P38" s="26" t="n"/>
      <c r="Q38" s="27" t="n"/>
      <c r="R38" s="22" t="n"/>
      <c r="S38" s="24" t="n"/>
      <c r="T38" s="24" t="n"/>
      <c r="U38" s="23">
        <f>IF(R38="","","https://www.gia.edu/report-check?reportno="&amp;R38)</f>
        <v/>
      </c>
      <c r="V38" s="24" t="n"/>
      <c r="W38" s="24" t="n"/>
      <c r="X38" s="24" t="n"/>
      <c r="Y38" s="24" t="n"/>
      <c r="Z38" s="25" t="n"/>
      <c r="AA38" s="24" t="n"/>
      <c r="AB38" s="24" t="n"/>
      <c r="AC38" s="28" t="n"/>
      <c r="AD38" s="28" t="n"/>
      <c r="AE38" s="27" t="n"/>
      <c r="AF38" s="27" t="n"/>
      <c r="AG38" s="23">
        <f>COUNTIF('Custody Chain'!$A:$A,A38)</f>
        <v/>
      </c>
      <c r="AH38" s="23">
        <f>COUNTIF(Photos!$A:$A,A38)</f>
        <v/>
      </c>
      <c r="AI38" s="23">
        <f>IF(((A38="")+(C38="")+(E38="")+(F38="")+(G38="")+(H38="")+(I38="")+(R38="")+(S38="")+(T38="")+(V38="")+(W38="")+(X38="")+(Y38=""))&gt;0,"Missing "&amp;((A38="")+(C38="")+(E38="")+(F38="")+(G38="")+(H38="")+(I38="")+(R38="")+(S38="")+(T38="")+(V38="")+(W38="")+(X38="")+(Y38=""))&amp;" required field(s)",IF(AG38=0,"Needs custody chain",IF(AH38&lt;3,"Needs photos","Complete")))</f>
        <v/>
      </c>
    </row>
    <row r="39" ht="18" customHeight="1">
      <c r="A39" s="22" t="inlineStr">
        <is>
          <t>036</t>
        </is>
      </c>
      <c r="B39" s="23">
        <f>IF(A39="","","https://diamond-nfc-experience.vercel.app/diamond/"&amp;A39)</f>
        <v/>
      </c>
      <c r="C39" s="24" t="inlineStr">
        <is>
          <t>Draft</t>
        </is>
      </c>
      <c r="D39" s="24" t="n"/>
      <c r="E39" s="24" t="n"/>
      <c r="F39" s="25" t="n"/>
      <c r="G39" s="24" t="n"/>
      <c r="H39" s="24" t="n"/>
      <c r="I39" s="24" t="n"/>
      <c r="J39" s="24" t="n"/>
      <c r="K39" s="24" t="n"/>
      <c r="L39" s="24" t="n"/>
      <c r="M39" s="24" t="n"/>
      <c r="N39" s="24" t="n"/>
      <c r="O39" s="26" t="n"/>
      <c r="P39" s="26" t="n"/>
      <c r="Q39" s="27" t="n"/>
      <c r="R39" s="22" t="n"/>
      <c r="S39" s="24" t="n"/>
      <c r="T39" s="24" t="n"/>
      <c r="U39" s="23">
        <f>IF(R39="","","https://www.gia.edu/report-check?reportno="&amp;R39)</f>
        <v/>
      </c>
      <c r="V39" s="24" t="n"/>
      <c r="W39" s="24" t="n"/>
      <c r="X39" s="24" t="n"/>
      <c r="Y39" s="24" t="n"/>
      <c r="Z39" s="25" t="n"/>
      <c r="AA39" s="24" t="n"/>
      <c r="AB39" s="24" t="n"/>
      <c r="AC39" s="28" t="n"/>
      <c r="AD39" s="28" t="n"/>
      <c r="AE39" s="27" t="n"/>
      <c r="AF39" s="27" t="n"/>
      <c r="AG39" s="23">
        <f>COUNTIF('Custody Chain'!$A:$A,A39)</f>
        <v/>
      </c>
      <c r="AH39" s="23">
        <f>COUNTIF(Photos!$A:$A,A39)</f>
        <v/>
      </c>
      <c r="AI39" s="23">
        <f>IF(((A39="")+(C39="")+(E39="")+(F39="")+(G39="")+(H39="")+(I39="")+(R39="")+(S39="")+(T39="")+(V39="")+(W39="")+(X39="")+(Y39=""))&gt;0,"Missing "&amp;((A39="")+(C39="")+(E39="")+(F39="")+(G39="")+(H39="")+(I39="")+(R39="")+(S39="")+(T39="")+(V39="")+(W39="")+(X39="")+(Y39=""))&amp;" required field(s)",IF(AG39=0,"Needs custody chain",IF(AH39&lt;3,"Needs photos","Complete")))</f>
        <v/>
      </c>
    </row>
    <row r="40" ht="18" customHeight="1">
      <c r="A40" s="22" t="inlineStr">
        <is>
          <t>037</t>
        </is>
      </c>
      <c r="B40" s="23">
        <f>IF(A40="","","https://diamond-nfc-experience.vercel.app/diamond/"&amp;A40)</f>
        <v/>
      </c>
      <c r="C40" s="24" t="inlineStr">
        <is>
          <t>Draft</t>
        </is>
      </c>
      <c r="D40" s="24" t="n"/>
      <c r="E40" s="24" t="n"/>
      <c r="F40" s="25" t="n"/>
      <c r="G40" s="24" t="n"/>
      <c r="H40" s="24" t="n"/>
      <c r="I40" s="24" t="n"/>
      <c r="J40" s="24" t="n"/>
      <c r="K40" s="24" t="n"/>
      <c r="L40" s="24" t="n"/>
      <c r="M40" s="24" t="n"/>
      <c r="N40" s="24" t="n"/>
      <c r="O40" s="26" t="n"/>
      <c r="P40" s="26" t="n"/>
      <c r="Q40" s="27" t="n"/>
      <c r="R40" s="22" t="n"/>
      <c r="S40" s="24" t="n"/>
      <c r="T40" s="24" t="n"/>
      <c r="U40" s="23">
        <f>IF(R40="","","https://www.gia.edu/report-check?reportno="&amp;R40)</f>
        <v/>
      </c>
      <c r="V40" s="24" t="n"/>
      <c r="W40" s="24" t="n"/>
      <c r="X40" s="24" t="n"/>
      <c r="Y40" s="24" t="n"/>
      <c r="Z40" s="25" t="n"/>
      <c r="AA40" s="24" t="n"/>
      <c r="AB40" s="24" t="n"/>
      <c r="AC40" s="28" t="n"/>
      <c r="AD40" s="28" t="n"/>
      <c r="AE40" s="27" t="n"/>
      <c r="AF40" s="27" t="n"/>
      <c r="AG40" s="23">
        <f>COUNTIF('Custody Chain'!$A:$A,A40)</f>
        <v/>
      </c>
      <c r="AH40" s="23">
        <f>COUNTIF(Photos!$A:$A,A40)</f>
        <v/>
      </c>
      <c r="AI40" s="23">
        <f>IF(((A40="")+(C40="")+(E40="")+(F40="")+(G40="")+(H40="")+(I40="")+(R40="")+(S40="")+(T40="")+(V40="")+(W40="")+(X40="")+(Y40=""))&gt;0,"Missing "&amp;((A40="")+(C40="")+(E40="")+(F40="")+(G40="")+(H40="")+(I40="")+(R40="")+(S40="")+(T40="")+(V40="")+(W40="")+(X40="")+(Y40=""))&amp;" required field(s)",IF(AG40=0,"Needs custody chain",IF(AH40&lt;3,"Needs photos","Complete")))</f>
        <v/>
      </c>
    </row>
    <row r="41" ht="18" customHeight="1">
      <c r="A41" s="22" t="inlineStr">
        <is>
          <t>038</t>
        </is>
      </c>
      <c r="B41" s="23">
        <f>IF(A41="","","https://diamond-nfc-experience.vercel.app/diamond/"&amp;A41)</f>
        <v/>
      </c>
      <c r="C41" s="24" t="inlineStr">
        <is>
          <t>Draft</t>
        </is>
      </c>
      <c r="D41" s="24" t="n"/>
      <c r="E41" s="24" t="n"/>
      <c r="F41" s="25" t="n"/>
      <c r="G41" s="24" t="n"/>
      <c r="H41" s="24" t="n"/>
      <c r="I41" s="24" t="n"/>
      <c r="J41" s="24" t="n"/>
      <c r="K41" s="24" t="n"/>
      <c r="L41" s="24" t="n"/>
      <c r="M41" s="24" t="n"/>
      <c r="N41" s="24" t="n"/>
      <c r="O41" s="26" t="n"/>
      <c r="P41" s="26" t="n"/>
      <c r="Q41" s="27" t="n"/>
      <c r="R41" s="22" t="n"/>
      <c r="S41" s="24" t="n"/>
      <c r="T41" s="24" t="n"/>
      <c r="U41" s="23">
        <f>IF(R41="","","https://www.gia.edu/report-check?reportno="&amp;R41)</f>
        <v/>
      </c>
      <c r="V41" s="24" t="n"/>
      <c r="W41" s="24" t="n"/>
      <c r="X41" s="24" t="n"/>
      <c r="Y41" s="24" t="n"/>
      <c r="Z41" s="25" t="n"/>
      <c r="AA41" s="24" t="n"/>
      <c r="AB41" s="24" t="n"/>
      <c r="AC41" s="28" t="n"/>
      <c r="AD41" s="28" t="n"/>
      <c r="AE41" s="27" t="n"/>
      <c r="AF41" s="27" t="n"/>
      <c r="AG41" s="23">
        <f>COUNTIF('Custody Chain'!$A:$A,A41)</f>
        <v/>
      </c>
      <c r="AH41" s="23">
        <f>COUNTIF(Photos!$A:$A,A41)</f>
        <v/>
      </c>
      <c r="AI41" s="23">
        <f>IF(((A41="")+(C41="")+(E41="")+(F41="")+(G41="")+(H41="")+(I41="")+(R41="")+(S41="")+(T41="")+(V41="")+(W41="")+(X41="")+(Y41=""))&gt;0,"Missing "&amp;((A41="")+(C41="")+(E41="")+(F41="")+(G41="")+(H41="")+(I41="")+(R41="")+(S41="")+(T41="")+(V41="")+(W41="")+(X41="")+(Y41=""))&amp;" required field(s)",IF(AG41=0,"Needs custody chain",IF(AH41&lt;3,"Needs photos","Complete")))</f>
        <v/>
      </c>
    </row>
    <row r="42" ht="18" customHeight="1">
      <c r="A42" s="22" t="inlineStr">
        <is>
          <t>039</t>
        </is>
      </c>
      <c r="B42" s="23">
        <f>IF(A42="","","https://diamond-nfc-experience.vercel.app/diamond/"&amp;A42)</f>
        <v/>
      </c>
      <c r="C42" s="24" t="inlineStr">
        <is>
          <t>Draft</t>
        </is>
      </c>
      <c r="D42" s="24" t="n"/>
      <c r="E42" s="24" t="n"/>
      <c r="F42" s="25" t="n"/>
      <c r="G42" s="24" t="n"/>
      <c r="H42" s="24" t="n"/>
      <c r="I42" s="24" t="n"/>
      <c r="J42" s="24" t="n"/>
      <c r="K42" s="24" t="n"/>
      <c r="L42" s="24" t="n"/>
      <c r="M42" s="24" t="n"/>
      <c r="N42" s="24" t="n"/>
      <c r="O42" s="26" t="n"/>
      <c r="P42" s="26" t="n"/>
      <c r="Q42" s="27" t="n"/>
      <c r="R42" s="22" t="n"/>
      <c r="S42" s="24" t="n"/>
      <c r="T42" s="24" t="n"/>
      <c r="U42" s="23">
        <f>IF(R42="","","https://www.gia.edu/report-check?reportno="&amp;R42)</f>
        <v/>
      </c>
      <c r="V42" s="24" t="n"/>
      <c r="W42" s="24" t="n"/>
      <c r="X42" s="24" t="n"/>
      <c r="Y42" s="24" t="n"/>
      <c r="Z42" s="25" t="n"/>
      <c r="AA42" s="24" t="n"/>
      <c r="AB42" s="24" t="n"/>
      <c r="AC42" s="28" t="n"/>
      <c r="AD42" s="28" t="n"/>
      <c r="AE42" s="27" t="n"/>
      <c r="AF42" s="27" t="n"/>
      <c r="AG42" s="23">
        <f>COUNTIF('Custody Chain'!$A:$A,A42)</f>
        <v/>
      </c>
      <c r="AH42" s="23">
        <f>COUNTIF(Photos!$A:$A,A42)</f>
        <v/>
      </c>
      <c r="AI42" s="23">
        <f>IF(((A42="")+(C42="")+(E42="")+(F42="")+(G42="")+(H42="")+(I42="")+(R42="")+(S42="")+(T42="")+(V42="")+(W42="")+(X42="")+(Y42=""))&gt;0,"Missing "&amp;((A42="")+(C42="")+(E42="")+(F42="")+(G42="")+(H42="")+(I42="")+(R42="")+(S42="")+(T42="")+(V42="")+(W42="")+(X42="")+(Y42=""))&amp;" required field(s)",IF(AG42=0,"Needs custody chain",IF(AH42&lt;3,"Needs photos","Complete")))</f>
        <v/>
      </c>
    </row>
    <row r="43" ht="18" customHeight="1">
      <c r="A43" s="22" t="inlineStr">
        <is>
          <t>040</t>
        </is>
      </c>
      <c r="B43" s="23">
        <f>IF(A43="","","https://diamond-nfc-experience.vercel.app/diamond/"&amp;A43)</f>
        <v/>
      </c>
      <c r="C43" s="24" t="inlineStr">
        <is>
          <t>Draft</t>
        </is>
      </c>
      <c r="D43" s="24" t="n"/>
      <c r="E43" s="24" t="n"/>
      <c r="F43" s="25" t="n"/>
      <c r="G43" s="24" t="n"/>
      <c r="H43" s="24" t="n"/>
      <c r="I43" s="24" t="n"/>
      <c r="J43" s="24" t="n"/>
      <c r="K43" s="24" t="n"/>
      <c r="L43" s="24" t="n"/>
      <c r="M43" s="24" t="n"/>
      <c r="N43" s="24" t="n"/>
      <c r="O43" s="26" t="n"/>
      <c r="P43" s="26" t="n"/>
      <c r="Q43" s="27" t="n"/>
      <c r="R43" s="22" t="n"/>
      <c r="S43" s="24" t="n"/>
      <c r="T43" s="24" t="n"/>
      <c r="U43" s="23">
        <f>IF(R43="","","https://www.gia.edu/report-check?reportno="&amp;R43)</f>
        <v/>
      </c>
      <c r="V43" s="24" t="n"/>
      <c r="W43" s="24" t="n"/>
      <c r="X43" s="24" t="n"/>
      <c r="Y43" s="24" t="n"/>
      <c r="Z43" s="25" t="n"/>
      <c r="AA43" s="24" t="n"/>
      <c r="AB43" s="24" t="n"/>
      <c r="AC43" s="28" t="n"/>
      <c r="AD43" s="28" t="n"/>
      <c r="AE43" s="27" t="n"/>
      <c r="AF43" s="27" t="n"/>
      <c r="AG43" s="23">
        <f>COUNTIF('Custody Chain'!$A:$A,A43)</f>
        <v/>
      </c>
      <c r="AH43" s="23">
        <f>COUNTIF(Photos!$A:$A,A43)</f>
        <v/>
      </c>
      <c r="AI43" s="23">
        <f>IF(((A43="")+(C43="")+(E43="")+(F43="")+(G43="")+(H43="")+(I43="")+(R43="")+(S43="")+(T43="")+(V43="")+(W43="")+(X43="")+(Y43=""))&gt;0,"Missing "&amp;((A43="")+(C43="")+(E43="")+(F43="")+(G43="")+(H43="")+(I43="")+(R43="")+(S43="")+(T43="")+(V43="")+(W43="")+(X43="")+(Y43=""))&amp;" required field(s)",IF(AG43=0,"Needs custody chain",IF(AH43&lt;3,"Needs photos","Complete")))</f>
        <v/>
      </c>
    </row>
    <row r="44" ht="18" customHeight="1">
      <c r="A44" s="22" t="inlineStr">
        <is>
          <t>041</t>
        </is>
      </c>
      <c r="B44" s="23">
        <f>IF(A44="","","https://diamond-nfc-experience.vercel.app/diamond/"&amp;A44)</f>
        <v/>
      </c>
      <c r="C44" s="24" t="inlineStr">
        <is>
          <t>Draft</t>
        </is>
      </c>
      <c r="D44" s="24" t="n"/>
      <c r="E44" s="24" t="n"/>
      <c r="F44" s="25" t="n"/>
      <c r="G44" s="24" t="n"/>
      <c r="H44" s="24" t="n"/>
      <c r="I44" s="24" t="n"/>
      <c r="J44" s="24" t="n"/>
      <c r="K44" s="24" t="n"/>
      <c r="L44" s="24" t="n"/>
      <c r="M44" s="24" t="n"/>
      <c r="N44" s="24" t="n"/>
      <c r="O44" s="26" t="n"/>
      <c r="P44" s="26" t="n"/>
      <c r="Q44" s="27" t="n"/>
      <c r="R44" s="22" t="n"/>
      <c r="S44" s="24" t="n"/>
      <c r="T44" s="24" t="n"/>
      <c r="U44" s="23">
        <f>IF(R44="","","https://www.gia.edu/report-check?reportno="&amp;R44)</f>
        <v/>
      </c>
      <c r="V44" s="24" t="n"/>
      <c r="W44" s="24" t="n"/>
      <c r="X44" s="24" t="n"/>
      <c r="Y44" s="24" t="n"/>
      <c r="Z44" s="25" t="n"/>
      <c r="AA44" s="24" t="n"/>
      <c r="AB44" s="24" t="n"/>
      <c r="AC44" s="28" t="n"/>
      <c r="AD44" s="28" t="n"/>
      <c r="AE44" s="27" t="n"/>
      <c r="AF44" s="27" t="n"/>
      <c r="AG44" s="23">
        <f>COUNTIF('Custody Chain'!$A:$A,A44)</f>
        <v/>
      </c>
      <c r="AH44" s="23">
        <f>COUNTIF(Photos!$A:$A,A44)</f>
        <v/>
      </c>
      <c r="AI44" s="23">
        <f>IF(((A44="")+(C44="")+(E44="")+(F44="")+(G44="")+(H44="")+(I44="")+(R44="")+(S44="")+(T44="")+(V44="")+(W44="")+(X44="")+(Y44=""))&gt;0,"Missing "&amp;((A44="")+(C44="")+(E44="")+(F44="")+(G44="")+(H44="")+(I44="")+(R44="")+(S44="")+(T44="")+(V44="")+(W44="")+(X44="")+(Y44=""))&amp;" required field(s)",IF(AG44=0,"Needs custody chain",IF(AH44&lt;3,"Needs photos","Complete")))</f>
        <v/>
      </c>
    </row>
    <row r="45" ht="18" customHeight="1">
      <c r="A45" s="22" t="inlineStr">
        <is>
          <t>042</t>
        </is>
      </c>
      <c r="B45" s="23">
        <f>IF(A45="","","https://diamond-nfc-experience.vercel.app/diamond/"&amp;A45)</f>
        <v/>
      </c>
      <c r="C45" s="24" t="inlineStr">
        <is>
          <t>Draft</t>
        </is>
      </c>
      <c r="D45" s="24" t="n"/>
      <c r="E45" s="24" t="n"/>
      <c r="F45" s="25" t="n"/>
      <c r="G45" s="24" t="n"/>
      <c r="H45" s="24" t="n"/>
      <c r="I45" s="24" t="n"/>
      <c r="J45" s="24" t="n"/>
      <c r="K45" s="24" t="n"/>
      <c r="L45" s="24" t="n"/>
      <c r="M45" s="24" t="n"/>
      <c r="N45" s="24" t="n"/>
      <c r="O45" s="26" t="n"/>
      <c r="P45" s="26" t="n"/>
      <c r="Q45" s="27" t="n"/>
      <c r="R45" s="22" t="n"/>
      <c r="S45" s="24" t="n"/>
      <c r="T45" s="24" t="n"/>
      <c r="U45" s="23">
        <f>IF(R45="","","https://www.gia.edu/report-check?reportno="&amp;R45)</f>
        <v/>
      </c>
      <c r="V45" s="24" t="n"/>
      <c r="W45" s="24" t="n"/>
      <c r="X45" s="24" t="n"/>
      <c r="Y45" s="24" t="n"/>
      <c r="Z45" s="25" t="n"/>
      <c r="AA45" s="24" t="n"/>
      <c r="AB45" s="24" t="n"/>
      <c r="AC45" s="28" t="n"/>
      <c r="AD45" s="28" t="n"/>
      <c r="AE45" s="27" t="n"/>
      <c r="AF45" s="27" t="n"/>
      <c r="AG45" s="23">
        <f>COUNTIF('Custody Chain'!$A:$A,A45)</f>
        <v/>
      </c>
      <c r="AH45" s="23">
        <f>COUNTIF(Photos!$A:$A,A45)</f>
        <v/>
      </c>
      <c r="AI45" s="23">
        <f>IF(((A45="")+(C45="")+(E45="")+(F45="")+(G45="")+(H45="")+(I45="")+(R45="")+(S45="")+(T45="")+(V45="")+(W45="")+(X45="")+(Y45=""))&gt;0,"Missing "&amp;((A45="")+(C45="")+(E45="")+(F45="")+(G45="")+(H45="")+(I45="")+(R45="")+(S45="")+(T45="")+(V45="")+(W45="")+(X45="")+(Y45=""))&amp;" required field(s)",IF(AG45=0,"Needs custody chain",IF(AH45&lt;3,"Needs photos","Complete")))</f>
        <v/>
      </c>
    </row>
    <row r="46" ht="18" customHeight="1">
      <c r="A46" s="22" t="inlineStr">
        <is>
          <t>043</t>
        </is>
      </c>
      <c r="B46" s="23">
        <f>IF(A46="","","https://diamond-nfc-experience.vercel.app/diamond/"&amp;A46)</f>
        <v/>
      </c>
      <c r="C46" s="24" t="inlineStr">
        <is>
          <t>Draft</t>
        </is>
      </c>
      <c r="D46" s="24" t="n"/>
      <c r="E46" s="24" t="n"/>
      <c r="F46" s="25" t="n"/>
      <c r="G46" s="24" t="n"/>
      <c r="H46" s="24" t="n"/>
      <c r="I46" s="24" t="n"/>
      <c r="J46" s="24" t="n"/>
      <c r="K46" s="24" t="n"/>
      <c r="L46" s="24" t="n"/>
      <c r="M46" s="24" t="n"/>
      <c r="N46" s="24" t="n"/>
      <c r="O46" s="26" t="n"/>
      <c r="P46" s="26" t="n"/>
      <c r="Q46" s="27" t="n"/>
      <c r="R46" s="22" t="n"/>
      <c r="S46" s="24" t="n"/>
      <c r="T46" s="24" t="n"/>
      <c r="U46" s="23">
        <f>IF(R46="","","https://www.gia.edu/report-check?reportno="&amp;R46)</f>
        <v/>
      </c>
      <c r="V46" s="24" t="n"/>
      <c r="W46" s="24" t="n"/>
      <c r="X46" s="24" t="n"/>
      <c r="Y46" s="24" t="n"/>
      <c r="Z46" s="25" t="n"/>
      <c r="AA46" s="24" t="n"/>
      <c r="AB46" s="24" t="n"/>
      <c r="AC46" s="28" t="n"/>
      <c r="AD46" s="28" t="n"/>
      <c r="AE46" s="27" t="n"/>
      <c r="AF46" s="27" t="n"/>
      <c r="AG46" s="23">
        <f>COUNTIF('Custody Chain'!$A:$A,A46)</f>
        <v/>
      </c>
      <c r="AH46" s="23">
        <f>COUNTIF(Photos!$A:$A,A46)</f>
        <v/>
      </c>
      <c r="AI46" s="23">
        <f>IF(((A46="")+(C46="")+(E46="")+(F46="")+(G46="")+(H46="")+(I46="")+(R46="")+(S46="")+(T46="")+(V46="")+(W46="")+(X46="")+(Y46=""))&gt;0,"Missing "&amp;((A46="")+(C46="")+(E46="")+(F46="")+(G46="")+(H46="")+(I46="")+(R46="")+(S46="")+(T46="")+(V46="")+(W46="")+(X46="")+(Y46=""))&amp;" required field(s)",IF(AG46=0,"Needs custody chain",IF(AH46&lt;3,"Needs photos","Complete")))</f>
        <v/>
      </c>
    </row>
    <row r="47" ht="18" customHeight="1">
      <c r="A47" s="22" t="inlineStr">
        <is>
          <t>044</t>
        </is>
      </c>
      <c r="B47" s="23">
        <f>IF(A47="","","https://diamond-nfc-experience.vercel.app/diamond/"&amp;A47)</f>
        <v/>
      </c>
      <c r="C47" s="24" t="inlineStr">
        <is>
          <t>Draft</t>
        </is>
      </c>
      <c r="D47" s="24" t="n"/>
      <c r="E47" s="24" t="n"/>
      <c r="F47" s="25" t="n"/>
      <c r="G47" s="24" t="n"/>
      <c r="H47" s="24" t="n"/>
      <c r="I47" s="24" t="n"/>
      <c r="J47" s="24" t="n"/>
      <c r="K47" s="24" t="n"/>
      <c r="L47" s="24" t="n"/>
      <c r="M47" s="24" t="n"/>
      <c r="N47" s="24" t="n"/>
      <c r="O47" s="26" t="n"/>
      <c r="P47" s="26" t="n"/>
      <c r="Q47" s="27" t="n"/>
      <c r="R47" s="22" t="n"/>
      <c r="S47" s="24" t="n"/>
      <c r="T47" s="24" t="n"/>
      <c r="U47" s="23">
        <f>IF(R47="","","https://www.gia.edu/report-check?reportno="&amp;R47)</f>
        <v/>
      </c>
      <c r="V47" s="24" t="n"/>
      <c r="W47" s="24" t="n"/>
      <c r="X47" s="24" t="n"/>
      <c r="Y47" s="24" t="n"/>
      <c r="Z47" s="25" t="n"/>
      <c r="AA47" s="24" t="n"/>
      <c r="AB47" s="24" t="n"/>
      <c r="AC47" s="28" t="n"/>
      <c r="AD47" s="28" t="n"/>
      <c r="AE47" s="27" t="n"/>
      <c r="AF47" s="27" t="n"/>
      <c r="AG47" s="23">
        <f>COUNTIF('Custody Chain'!$A:$A,A47)</f>
        <v/>
      </c>
      <c r="AH47" s="23">
        <f>COUNTIF(Photos!$A:$A,A47)</f>
        <v/>
      </c>
      <c r="AI47" s="23">
        <f>IF(((A47="")+(C47="")+(E47="")+(F47="")+(G47="")+(H47="")+(I47="")+(R47="")+(S47="")+(T47="")+(V47="")+(W47="")+(X47="")+(Y47=""))&gt;0,"Missing "&amp;((A47="")+(C47="")+(E47="")+(F47="")+(G47="")+(H47="")+(I47="")+(R47="")+(S47="")+(T47="")+(V47="")+(W47="")+(X47="")+(Y47=""))&amp;" required field(s)",IF(AG47=0,"Needs custody chain",IF(AH47&lt;3,"Needs photos","Complete")))</f>
        <v/>
      </c>
    </row>
    <row r="48" ht="18" customHeight="1">
      <c r="A48" s="22" t="inlineStr">
        <is>
          <t>045</t>
        </is>
      </c>
      <c r="B48" s="23">
        <f>IF(A48="","","https://diamond-nfc-experience.vercel.app/diamond/"&amp;A48)</f>
        <v/>
      </c>
      <c r="C48" s="24" t="inlineStr">
        <is>
          <t>Draft</t>
        </is>
      </c>
      <c r="D48" s="24" t="n"/>
      <c r="E48" s="24" t="n"/>
      <c r="F48" s="25" t="n"/>
      <c r="G48" s="24" t="n"/>
      <c r="H48" s="24" t="n"/>
      <c r="I48" s="24" t="n"/>
      <c r="J48" s="24" t="n"/>
      <c r="K48" s="24" t="n"/>
      <c r="L48" s="24" t="n"/>
      <c r="M48" s="24" t="n"/>
      <c r="N48" s="24" t="n"/>
      <c r="O48" s="26" t="n"/>
      <c r="P48" s="26" t="n"/>
      <c r="Q48" s="27" t="n"/>
      <c r="R48" s="22" t="n"/>
      <c r="S48" s="24" t="n"/>
      <c r="T48" s="24" t="n"/>
      <c r="U48" s="23">
        <f>IF(R48="","","https://www.gia.edu/report-check?reportno="&amp;R48)</f>
        <v/>
      </c>
      <c r="V48" s="24" t="n"/>
      <c r="W48" s="24" t="n"/>
      <c r="X48" s="24" t="n"/>
      <c r="Y48" s="24" t="n"/>
      <c r="Z48" s="25" t="n"/>
      <c r="AA48" s="24" t="n"/>
      <c r="AB48" s="24" t="n"/>
      <c r="AC48" s="28" t="n"/>
      <c r="AD48" s="28" t="n"/>
      <c r="AE48" s="27" t="n"/>
      <c r="AF48" s="27" t="n"/>
      <c r="AG48" s="23">
        <f>COUNTIF('Custody Chain'!$A:$A,A48)</f>
        <v/>
      </c>
      <c r="AH48" s="23">
        <f>COUNTIF(Photos!$A:$A,A48)</f>
        <v/>
      </c>
      <c r="AI48" s="23">
        <f>IF(((A48="")+(C48="")+(E48="")+(F48="")+(G48="")+(H48="")+(I48="")+(R48="")+(S48="")+(T48="")+(V48="")+(W48="")+(X48="")+(Y48=""))&gt;0,"Missing "&amp;((A48="")+(C48="")+(E48="")+(F48="")+(G48="")+(H48="")+(I48="")+(R48="")+(S48="")+(T48="")+(V48="")+(W48="")+(X48="")+(Y48=""))&amp;" required field(s)",IF(AG48=0,"Needs custody chain",IF(AH48&lt;3,"Needs photos","Complete")))</f>
        <v/>
      </c>
    </row>
    <row r="49" ht="18" customHeight="1">
      <c r="A49" s="22" t="inlineStr">
        <is>
          <t>046</t>
        </is>
      </c>
      <c r="B49" s="23">
        <f>IF(A49="","","https://diamond-nfc-experience.vercel.app/diamond/"&amp;A49)</f>
        <v/>
      </c>
      <c r="C49" s="24" t="inlineStr">
        <is>
          <t>Draft</t>
        </is>
      </c>
      <c r="D49" s="24" t="n"/>
      <c r="E49" s="24" t="n"/>
      <c r="F49" s="25" t="n"/>
      <c r="G49" s="24" t="n"/>
      <c r="H49" s="24" t="n"/>
      <c r="I49" s="24" t="n"/>
      <c r="J49" s="24" t="n"/>
      <c r="K49" s="24" t="n"/>
      <c r="L49" s="24" t="n"/>
      <c r="M49" s="24" t="n"/>
      <c r="N49" s="24" t="n"/>
      <c r="O49" s="26" t="n"/>
      <c r="P49" s="26" t="n"/>
      <c r="Q49" s="27" t="n"/>
      <c r="R49" s="22" t="n"/>
      <c r="S49" s="24" t="n"/>
      <c r="T49" s="24" t="n"/>
      <c r="U49" s="23">
        <f>IF(R49="","","https://www.gia.edu/report-check?reportno="&amp;R49)</f>
        <v/>
      </c>
      <c r="V49" s="24" t="n"/>
      <c r="W49" s="24" t="n"/>
      <c r="X49" s="24" t="n"/>
      <c r="Y49" s="24" t="n"/>
      <c r="Z49" s="25" t="n"/>
      <c r="AA49" s="24" t="n"/>
      <c r="AB49" s="24" t="n"/>
      <c r="AC49" s="28" t="n"/>
      <c r="AD49" s="28" t="n"/>
      <c r="AE49" s="27" t="n"/>
      <c r="AF49" s="27" t="n"/>
      <c r="AG49" s="23">
        <f>COUNTIF('Custody Chain'!$A:$A,A49)</f>
        <v/>
      </c>
      <c r="AH49" s="23">
        <f>COUNTIF(Photos!$A:$A,A49)</f>
        <v/>
      </c>
      <c r="AI49" s="23">
        <f>IF(((A49="")+(C49="")+(E49="")+(F49="")+(G49="")+(H49="")+(I49="")+(R49="")+(S49="")+(T49="")+(V49="")+(W49="")+(X49="")+(Y49=""))&gt;0,"Missing "&amp;((A49="")+(C49="")+(E49="")+(F49="")+(G49="")+(H49="")+(I49="")+(R49="")+(S49="")+(T49="")+(V49="")+(W49="")+(X49="")+(Y49=""))&amp;" required field(s)",IF(AG49=0,"Needs custody chain",IF(AH49&lt;3,"Needs photos","Complete")))</f>
        <v/>
      </c>
    </row>
    <row r="50" ht="18" customHeight="1">
      <c r="A50" s="22" t="inlineStr">
        <is>
          <t>047</t>
        </is>
      </c>
      <c r="B50" s="23">
        <f>IF(A50="","","https://diamond-nfc-experience.vercel.app/diamond/"&amp;A50)</f>
        <v/>
      </c>
      <c r="C50" s="24" t="inlineStr">
        <is>
          <t>Draft</t>
        </is>
      </c>
      <c r="D50" s="24" t="n"/>
      <c r="E50" s="24" t="n"/>
      <c r="F50" s="25" t="n"/>
      <c r="G50" s="24" t="n"/>
      <c r="H50" s="24" t="n"/>
      <c r="I50" s="24" t="n"/>
      <c r="J50" s="24" t="n"/>
      <c r="K50" s="24" t="n"/>
      <c r="L50" s="24" t="n"/>
      <c r="M50" s="24" t="n"/>
      <c r="N50" s="24" t="n"/>
      <c r="O50" s="26" t="n"/>
      <c r="P50" s="26" t="n"/>
      <c r="Q50" s="27" t="n"/>
      <c r="R50" s="22" t="n"/>
      <c r="S50" s="24" t="n"/>
      <c r="T50" s="24" t="n"/>
      <c r="U50" s="23">
        <f>IF(R50="","","https://www.gia.edu/report-check?reportno="&amp;R50)</f>
        <v/>
      </c>
      <c r="V50" s="24" t="n"/>
      <c r="W50" s="24" t="n"/>
      <c r="X50" s="24" t="n"/>
      <c r="Y50" s="24" t="n"/>
      <c r="Z50" s="25" t="n"/>
      <c r="AA50" s="24" t="n"/>
      <c r="AB50" s="24" t="n"/>
      <c r="AC50" s="28" t="n"/>
      <c r="AD50" s="28" t="n"/>
      <c r="AE50" s="27" t="n"/>
      <c r="AF50" s="27" t="n"/>
      <c r="AG50" s="23">
        <f>COUNTIF('Custody Chain'!$A:$A,A50)</f>
        <v/>
      </c>
      <c r="AH50" s="23">
        <f>COUNTIF(Photos!$A:$A,A50)</f>
        <v/>
      </c>
      <c r="AI50" s="23">
        <f>IF(((A50="")+(C50="")+(E50="")+(F50="")+(G50="")+(H50="")+(I50="")+(R50="")+(S50="")+(T50="")+(V50="")+(W50="")+(X50="")+(Y50=""))&gt;0,"Missing "&amp;((A50="")+(C50="")+(E50="")+(F50="")+(G50="")+(H50="")+(I50="")+(R50="")+(S50="")+(T50="")+(V50="")+(W50="")+(X50="")+(Y50=""))&amp;" required field(s)",IF(AG50=0,"Needs custody chain",IF(AH50&lt;3,"Needs photos","Complete")))</f>
        <v/>
      </c>
    </row>
    <row r="51" ht="18" customHeight="1">
      <c r="A51" s="22" t="inlineStr">
        <is>
          <t>048</t>
        </is>
      </c>
      <c r="B51" s="23">
        <f>IF(A51="","","https://diamond-nfc-experience.vercel.app/diamond/"&amp;A51)</f>
        <v/>
      </c>
      <c r="C51" s="24" t="inlineStr">
        <is>
          <t>Draft</t>
        </is>
      </c>
      <c r="D51" s="24" t="n"/>
      <c r="E51" s="24" t="n"/>
      <c r="F51" s="25" t="n"/>
      <c r="G51" s="24" t="n"/>
      <c r="H51" s="24" t="n"/>
      <c r="I51" s="24" t="n"/>
      <c r="J51" s="24" t="n"/>
      <c r="K51" s="24" t="n"/>
      <c r="L51" s="24" t="n"/>
      <c r="M51" s="24" t="n"/>
      <c r="N51" s="24" t="n"/>
      <c r="O51" s="26" t="n"/>
      <c r="P51" s="26" t="n"/>
      <c r="Q51" s="27" t="n"/>
      <c r="R51" s="22" t="n"/>
      <c r="S51" s="24" t="n"/>
      <c r="T51" s="24" t="n"/>
      <c r="U51" s="23">
        <f>IF(R51="","","https://www.gia.edu/report-check?reportno="&amp;R51)</f>
        <v/>
      </c>
      <c r="V51" s="24" t="n"/>
      <c r="W51" s="24" t="n"/>
      <c r="X51" s="24" t="n"/>
      <c r="Y51" s="24" t="n"/>
      <c r="Z51" s="25" t="n"/>
      <c r="AA51" s="24" t="n"/>
      <c r="AB51" s="24" t="n"/>
      <c r="AC51" s="28" t="n"/>
      <c r="AD51" s="28" t="n"/>
      <c r="AE51" s="27" t="n"/>
      <c r="AF51" s="27" t="n"/>
      <c r="AG51" s="23">
        <f>COUNTIF('Custody Chain'!$A:$A,A51)</f>
        <v/>
      </c>
      <c r="AH51" s="23">
        <f>COUNTIF(Photos!$A:$A,A51)</f>
        <v/>
      </c>
      <c r="AI51" s="23">
        <f>IF(((A51="")+(C51="")+(E51="")+(F51="")+(G51="")+(H51="")+(I51="")+(R51="")+(S51="")+(T51="")+(V51="")+(W51="")+(X51="")+(Y51=""))&gt;0,"Missing "&amp;((A51="")+(C51="")+(E51="")+(F51="")+(G51="")+(H51="")+(I51="")+(R51="")+(S51="")+(T51="")+(V51="")+(W51="")+(X51="")+(Y51=""))&amp;" required field(s)",IF(AG51=0,"Needs custody chain",IF(AH51&lt;3,"Needs photos","Complete")))</f>
        <v/>
      </c>
    </row>
    <row r="52" ht="18" customHeight="1">
      <c r="A52" s="22" t="inlineStr">
        <is>
          <t>049</t>
        </is>
      </c>
      <c r="B52" s="23">
        <f>IF(A52="","","https://diamond-nfc-experience.vercel.app/diamond/"&amp;A52)</f>
        <v/>
      </c>
      <c r="C52" s="24" t="inlineStr">
        <is>
          <t>Draft</t>
        </is>
      </c>
      <c r="D52" s="24" t="n"/>
      <c r="E52" s="24" t="n"/>
      <c r="F52" s="25" t="n"/>
      <c r="G52" s="24" t="n"/>
      <c r="H52" s="24" t="n"/>
      <c r="I52" s="24" t="n"/>
      <c r="J52" s="24" t="n"/>
      <c r="K52" s="24" t="n"/>
      <c r="L52" s="24" t="n"/>
      <c r="M52" s="24" t="n"/>
      <c r="N52" s="24" t="n"/>
      <c r="O52" s="26" t="n"/>
      <c r="P52" s="26" t="n"/>
      <c r="Q52" s="27" t="n"/>
      <c r="R52" s="22" t="n"/>
      <c r="S52" s="24" t="n"/>
      <c r="T52" s="24" t="n"/>
      <c r="U52" s="23">
        <f>IF(R52="","","https://www.gia.edu/report-check?reportno="&amp;R52)</f>
        <v/>
      </c>
      <c r="V52" s="24" t="n"/>
      <c r="W52" s="24" t="n"/>
      <c r="X52" s="24" t="n"/>
      <c r="Y52" s="24" t="n"/>
      <c r="Z52" s="25" t="n"/>
      <c r="AA52" s="24" t="n"/>
      <c r="AB52" s="24" t="n"/>
      <c r="AC52" s="28" t="n"/>
      <c r="AD52" s="28" t="n"/>
      <c r="AE52" s="27" t="n"/>
      <c r="AF52" s="27" t="n"/>
      <c r="AG52" s="23">
        <f>COUNTIF('Custody Chain'!$A:$A,A52)</f>
        <v/>
      </c>
      <c r="AH52" s="23">
        <f>COUNTIF(Photos!$A:$A,A52)</f>
        <v/>
      </c>
      <c r="AI52" s="23">
        <f>IF(((A52="")+(C52="")+(E52="")+(F52="")+(G52="")+(H52="")+(I52="")+(R52="")+(S52="")+(T52="")+(V52="")+(W52="")+(X52="")+(Y52=""))&gt;0,"Missing "&amp;((A52="")+(C52="")+(E52="")+(F52="")+(G52="")+(H52="")+(I52="")+(R52="")+(S52="")+(T52="")+(V52="")+(W52="")+(X52="")+(Y52=""))&amp;" required field(s)",IF(AG52=0,"Needs custody chain",IF(AH52&lt;3,"Needs photos","Complete")))</f>
        <v/>
      </c>
    </row>
    <row r="53" ht="18" customHeight="1">
      <c r="A53" s="22" t="inlineStr">
        <is>
          <t>050</t>
        </is>
      </c>
      <c r="B53" s="23">
        <f>IF(A53="","","https://diamond-nfc-experience.vercel.app/diamond/"&amp;A53)</f>
        <v/>
      </c>
      <c r="C53" s="24" t="inlineStr">
        <is>
          <t>Draft</t>
        </is>
      </c>
      <c r="D53" s="24" t="n"/>
      <c r="E53" s="24" t="n"/>
      <c r="F53" s="25" t="n"/>
      <c r="G53" s="24" t="n"/>
      <c r="H53" s="24" t="n"/>
      <c r="I53" s="24" t="n"/>
      <c r="J53" s="24" t="n"/>
      <c r="K53" s="24" t="n"/>
      <c r="L53" s="24" t="n"/>
      <c r="M53" s="24" t="n"/>
      <c r="N53" s="24" t="n"/>
      <c r="O53" s="26" t="n"/>
      <c r="P53" s="26" t="n"/>
      <c r="Q53" s="27" t="n"/>
      <c r="R53" s="22" t="n"/>
      <c r="S53" s="24" t="n"/>
      <c r="T53" s="24" t="n"/>
      <c r="U53" s="23">
        <f>IF(R53="","","https://www.gia.edu/report-check?reportno="&amp;R53)</f>
        <v/>
      </c>
      <c r="V53" s="24" t="n"/>
      <c r="W53" s="24" t="n"/>
      <c r="X53" s="24" t="n"/>
      <c r="Y53" s="24" t="n"/>
      <c r="Z53" s="25" t="n"/>
      <c r="AA53" s="24" t="n"/>
      <c r="AB53" s="24" t="n"/>
      <c r="AC53" s="28" t="n"/>
      <c r="AD53" s="28" t="n"/>
      <c r="AE53" s="27" t="n"/>
      <c r="AF53" s="27" t="n"/>
      <c r="AG53" s="23">
        <f>COUNTIF('Custody Chain'!$A:$A,A53)</f>
        <v/>
      </c>
      <c r="AH53" s="23">
        <f>COUNTIF(Photos!$A:$A,A53)</f>
        <v/>
      </c>
      <c r="AI53" s="23">
        <f>IF(((A53="")+(C53="")+(E53="")+(F53="")+(G53="")+(H53="")+(I53="")+(R53="")+(S53="")+(T53="")+(V53="")+(W53="")+(X53="")+(Y53=""))&gt;0,"Missing "&amp;((A53="")+(C53="")+(E53="")+(F53="")+(G53="")+(H53="")+(I53="")+(R53="")+(S53="")+(T53="")+(V53="")+(W53="")+(X53="")+(Y53=""))&amp;" required field(s)",IF(AG53=0,"Needs custody chain",IF(AH53&lt;3,"Needs photos","Complete")))</f>
        <v/>
      </c>
    </row>
  </sheetData>
  <mergeCells count="6">
    <mergeCell ref="AG1:AI1"/>
    <mergeCell ref="AA1:AF1"/>
    <mergeCell ref="A1:C1"/>
    <mergeCell ref="V1:Z1"/>
    <mergeCell ref="R1:U1"/>
    <mergeCell ref="D1:Q1"/>
  </mergeCells>
  <dataValidations count="11">
    <dataValidation sqref="C4:C53" showDropDown="0" showInputMessage="0" showErrorMessage="0" allowBlank="1" type="list">
      <formula1>Lists!$J$2:$J$4</formula1>
    </dataValidation>
    <dataValidation sqref="E4:E53" showDropDown="0" showInputMessage="0" showErrorMessage="0" allowBlank="1" type="list">
      <formula1>Lists!$A$2:$A$11</formula1>
    </dataValidation>
    <dataValidation sqref="G4:G53" showDropDown="0" showInputMessage="0" showErrorMessage="0" allowBlank="1" type="list">
      <formula1>Lists!$B$2:$B$7</formula1>
    </dataValidation>
    <dataValidation sqref="H4:H53" showDropDown="0" showInputMessage="0" showErrorMessage="0" allowBlank="1" type="list">
      <formula1>Lists!$C$2:$C$11</formula1>
    </dataValidation>
    <dataValidation sqref="I4:I53" showDropDown="0" showInputMessage="0" showErrorMessage="0" allowBlank="1" type="list">
      <formula1>Lists!$D$2:$D$12</formula1>
    </dataValidation>
    <dataValidation sqref="K4:K53" showDropDown="0" showInputMessage="0" showErrorMessage="0" allowBlank="1" type="list">
      <formula1>Lists!$B$2:$B$7</formula1>
    </dataValidation>
    <dataValidation sqref="L4:L53" showDropDown="0" showInputMessage="0" showErrorMessage="0" allowBlank="1" type="list">
      <formula1>Lists!$B$2:$B$7</formula1>
    </dataValidation>
    <dataValidation sqref="M4:M53" showDropDown="0" showInputMessage="0" showErrorMessage="0" allowBlank="1" type="list">
      <formula1>Lists!$E$2:$E$6</formula1>
    </dataValidation>
    <dataValidation sqref="T4:T53" showDropDown="0" showInputMessage="0" showErrorMessage="0" allowBlank="1" type="list">
      <formula1>Lists!$F$2:$F$3</formula1>
    </dataValidation>
    <dataValidation sqref="W4:W53" showDropDown="0" showInputMessage="0" showErrorMessage="0" allowBlank="1" type="list">
      <formula1>Lists!$G$2:$G$3</formula1>
    </dataValidation>
    <dataValidation sqref="F4:F53" showDropDown="0" showInputMessage="0" showErrorMessage="1" allowBlank="1" error="Carat should be a number like 1.52" type="decimal" operator="between">
      <formula1>0.1</formula1>
      <formula2>30</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399"/>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2" customWidth="1" min="3" max="3"/>
    <col width="40" customWidth="1" min="4" max="4"/>
    <col width="13" customWidth="1" min="5" max="5"/>
  </cols>
  <sheetData>
    <row r="1">
      <c r="A1" s="29" t="inlineStr">
        <is>
          <t>Stone ID</t>
        </is>
      </c>
      <c r="B1" s="29" t="inlineStr">
        <is>
          <t>Step #</t>
        </is>
      </c>
      <c r="C1" s="29" t="inlineStr">
        <is>
          <t>Stage</t>
        </is>
      </c>
      <c r="D1" s="29" t="inlineStr">
        <is>
          <t>Location</t>
        </is>
      </c>
      <c r="E1" s="29" t="inlineStr">
        <is>
          <t>Date</t>
        </is>
      </c>
    </row>
    <row r="2">
      <c r="A2" s="30" t="inlineStr">
        <is>
          <t>001</t>
        </is>
      </c>
      <c r="B2" s="31" t="n">
        <v>1</v>
      </c>
      <c r="C2" s="31" t="inlineStr">
        <is>
          <t>Mined</t>
        </is>
      </c>
      <c r="D2" s="31" t="inlineStr">
        <is>
          <t>Orapa Mine, Botswana</t>
        </is>
      </c>
      <c r="E2" s="31" t="inlineStr">
        <is>
          <t>2023-08-04</t>
        </is>
      </c>
    </row>
    <row r="3">
      <c r="A3" s="30" t="inlineStr">
        <is>
          <t>001</t>
        </is>
      </c>
      <c r="B3" s="31" t="n">
        <v>2</v>
      </c>
      <c r="C3" s="31" t="inlineStr">
        <is>
          <t>Sorted &amp; Graded</t>
        </is>
      </c>
      <c r="D3" s="31" t="inlineStr">
        <is>
          <t>Gaborone, Botswana</t>
        </is>
      </c>
      <c r="E3" s="31" t="inlineStr">
        <is>
          <t>2023-09-12</t>
        </is>
      </c>
    </row>
    <row r="4">
      <c r="A4" s="30" t="inlineStr">
        <is>
          <t>001</t>
        </is>
      </c>
      <c r="B4" s="31" t="n">
        <v>3</v>
      </c>
      <c r="C4" s="31" t="inlineStr">
        <is>
          <t>Cut &amp; Polished</t>
        </is>
      </c>
      <c r="D4" s="31" t="inlineStr">
        <is>
          <t>Surat, India</t>
        </is>
      </c>
      <c r="E4" s="31" t="inlineStr">
        <is>
          <t>2024-01-22</t>
        </is>
      </c>
    </row>
    <row r="5">
      <c r="A5" s="30" t="inlineStr">
        <is>
          <t>001</t>
        </is>
      </c>
      <c r="B5" s="31" t="n">
        <v>4</v>
      </c>
      <c r="C5" s="31" t="inlineStr">
        <is>
          <t>Certified</t>
        </is>
      </c>
      <c r="D5" s="31" t="inlineStr">
        <is>
          <t>GIA, New York</t>
        </is>
      </c>
      <c r="E5" s="31" t="inlineStr">
        <is>
          <t>2024-03-02</t>
        </is>
      </c>
    </row>
    <row r="6">
      <c r="A6" s="30" t="inlineStr">
        <is>
          <t>001</t>
        </is>
      </c>
      <c r="B6" s="31" t="n">
        <v>5</v>
      </c>
      <c r="C6" s="31" t="inlineStr">
        <is>
          <t>Delivered to Retailer</t>
        </is>
      </c>
      <c r="D6" s="31" t="inlineStr">
        <is>
          <t>New York, NY</t>
        </is>
      </c>
      <c r="E6" s="31" t="inlineStr">
        <is>
          <t>2024-03-28</t>
        </is>
      </c>
    </row>
    <row r="7">
      <c r="A7" s="30" t="inlineStr">
        <is>
          <t>002</t>
        </is>
      </c>
      <c r="B7" s="31" t="n">
        <v>1</v>
      </c>
      <c r="C7" s="31" t="inlineStr">
        <is>
          <t>Mined</t>
        </is>
      </c>
      <c r="D7" s="31" t="inlineStr">
        <is>
          <t>Diavik Mine, Northwest Territories, Canada</t>
        </is>
      </c>
      <c r="E7" s="31" t="inlineStr">
        <is>
          <t>2023-05-19</t>
        </is>
      </c>
    </row>
    <row r="8">
      <c r="A8" s="30" t="inlineStr">
        <is>
          <t>002</t>
        </is>
      </c>
      <c r="B8" s="31" t="n">
        <v>2</v>
      </c>
      <c r="C8" s="31" t="inlineStr">
        <is>
          <t>Sorted &amp; Graded</t>
        </is>
      </c>
      <c r="D8" s="31" t="inlineStr">
        <is>
          <t>Yellowknife, Canada</t>
        </is>
      </c>
      <c r="E8" s="31" t="inlineStr">
        <is>
          <t>2023-06-30</t>
        </is>
      </c>
    </row>
    <row r="9">
      <c r="A9" s="30" t="inlineStr">
        <is>
          <t>002</t>
        </is>
      </c>
      <c r="B9" s="31" t="n">
        <v>3</v>
      </c>
      <c r="C9" s="31" t="inlineStr">
        <is>
          <t>Cut &amp; Polished</t>
        </is>
      </c>
      <c r="D9" s="31" t="inlineStr">
        <is>
          <t>Antwerp, Belgium</t>
        </is>
      </c>
      <c r="E9" s="31" t="inlineStr">
        <is>
          <t>2023-11-08</t>
        </is>
      </c>
    </row>
    <row r="10">
      <c r="A10" s="30" t="inlineStr">
        <is>
          <t>002</t>
        </is>
      </c>
      <c r="B10" s="31" t="n">
        <v>4</v>
      </c>
      <c r="C10" s="31" t="inlineStr">
        <is>
          <t>Certified</t>
        </is>
      </c>
      <c r="D10" s="31" t="inlineStr">
        <is>
          <t>GIA, New York</t>
        </is>
      </c>
      <c r="E10" s="31" t="inlineStr">
        <is>
          <t>2024-01-15</t>
        </is>
      </c>
    </row>
    <row r="11">
      <c r="A11" s="30" t="inlineStr">
        <is>
          <t>002</t>
        </is>
      </c>
      <c r="B11" s="31" t="n">
        <v>5</v>
      </c>
      <c r="C11" s="31" t="inlineStr">
        <is>
          <t>Delivered to Retailer</t>
        </is>
      </c>
      <c r="D11" s="31" t="inlineStr">
        <is>
          <t>New York, NY</t>
        </is>
      </c>
      <c r="E11" s="31" t="inlineStr">
        <is>
          <t>2024-02-04</t>
        </is>
      </c>
    </row>
    <row r="12">
      <c r="A12" s="30" t="inlineStr">
        <is>
          <t>003</t>
        </is>
      </c>
      <c r="B12" s="31" t="n">
        <v>1</v>
      </c>
      <c r="C12" s="31" t="inlineStr">
        <is>
          <t>Mined</t>
        </is>
      </c>
      <c r="D12" s="31" t="inlineStr">
        <is>
          <t>Argyle Mine, Western Australia</t>
        </is>
      </c>
      <c r="E12" s="31" t="inlineStr">
        <is>
          <t>2022-12-11</t>
        </is>
      </c>
    </row>
    <row r="13">
      <c r="A13" s="30" t="inlineStr">
        <is>
          <t>003</t>
        </is>
      </c>
      <c r="B13" s="31" t="n">
        <v>2</v>
      </c>
      <c r="C13" s="31" t="inlineStr">
        <is>
          <t>Sorted &amp; Graded</t>
        </is>
      </c>
      <c r="D13" s="31" t="inlineStr">
        <is>
          <t>Perth, Australia</t>
        </is>
      </c>
      <c r="E13" s="31" t="inlineStr">
        <is>
          <t>2023-02-02</t>
        </is>
      </c>
    </row>
    <row r="14">
      <c r="A14" s="30" t="inlineStr">
        <is>
          <t>003</t>
        </is>
      </c>
      <c r="B14" s="31" t="n">
        <v>3</v>
      </c>
      <c r="C14" s="31" t="inlineStr">
        <is>
          <t>Cut &amp; Polished</t>
        </is>
      </c>
      <c r="D14" s="31" t="inlineStr">
        <is>
          <t>Surat, India</t>
        </is>
      </c>
      <c r="E14" s="31" t="inlineStr">
        <is>
          <t>2023-07-19</t>
        </is>
      </c>
    </row>
    <row r="15">
      <c r="A15" s="30" t="inlineStr">
        <is>
          <t>003</t>
        </is>
      </c>
      <c r="B15" s="31" t="n">
        <v>4</v>
      </c>
      <c r="C15" s="31" t="inlineStr">
        <is>
          <t>Certified</t>
        </is>
      </c>
      <c r="D15" s="31" t="inlineStr">
        <is>
          <t>GIA, New York</t>
        </is>
      </c>
      <c r="E15" s="31" t="inlineStr">
        <is>
          <t>2023-10-05</t>
        </is>
      </c>
    </row>
    <row r="16">
      <c r="A16" s="30" t="inlineStr">
        <is>
          <t>003</t>
        </is>
      </c>
      <c r="B16" s="31" t="n">
        <v>5</v>
      </c>
      <c r="C16" s="31" t="inlineStr">
        <is>
          <t>Delivered to Retailer</t>
        </is>
      </c>
      <c r="D16" s="31" t="inlineStr">
        <is>
          <t>New York, NY</t>
        </is>
      </c>
      <c r="E16" s="31" t="inlineStr">
        <is>
          <t>2023-10-30</t>
        </is>
      </c>
    </row>
    <row r="17">
      <c r="A17" s="30" t="inlineStr">
        <is>
          <t>004</t>
        </is>
      </c>
      <c r="B17" s="31" t="n">
        <v>1</v>
      </c>
      <c r="C17" s="31" t="inlineStr">
        <is>
          <t>Mined</t>
        </is>
      </c>
      <c r="D17" s="31" t="inlineStr">
        <is>
          <t>Ekati Mine, Northwest Territories, Canada</t>
        </is>
      </c>
      <c r="E17" s="31" t="inlineStr">
        <is>
          <t>2024-02-14</t>
        </is>
      </c>
    </row>
    <row r="18">
      <c r="A18" s="30" t="inlineStr">
        <is>
          <t>004</t>
        </is>
      </c>
      <c r="B18" s="31" t="n">
        <v>2</v>
      </c>
      <c r="C18" s="31" t="inlineStr">
        <is>
          <t>Sorted &amp; Graded</t>
        </is>
      </c>
      <c r="D18" s="31" t="inlineStr">
        <is>
          <t>Yellowknife, Canada</t>
        </is>
      </c>
      <c r="E18" s="31" t="inlineStr">
        <is>
          <t>2024-03-20</t>
        </is>
      </c>
    </row>
    <row r="19">
      <c r="A19" s="30" t="inlineStr">
        <is>
          <t>004</t>
        </is>
      </c>
      <c r="B19" s="31" t="n">
        <v>3</v>
      </c>
      <c r="C19" s="31" t="inlineStr">
        <is>
          <t>Cut &amp; Polished</t>
        </is>
      </c>
      <c r="D19" s="31" t="inlineStr">
        <is>
          <t>Antwerp, Belgium</t>
        </is>
      </c>
      <c r="E19" s="31" t="inlineStr">
        <is>
          <t>2024-06-11</t>
        </is>
      </c>
    </row>
    <row r="20">
      <c r="A20" s="30" t="inlineStr">
        <is>
          <t>004</t>
        </is>
      </c>
      <c r="B20" s="31" t="n">
        <v>4</v>
      </c>
      <c r="C20" s="31" t="inlineStr">
        <is>
          <t>Certified</t>
        </is>
      </c>
      <c r="D20" s="31" t="inlineStr">
        <is>
          <t>GIA, New York</t>
        </is>
      </c>
      <c r="E20" s="31" t="inlineStr">
        <is>
          <t>2024-08-02</t>
        </is>
      </c>
    </row>
    <row r="21">
      <c r="A21" s="30" t="inlineStr">
        <is>
          <t>005</t>
        </is>
      </c>
      <c r="B21" s="31" t="n">
        <v>1</v>
      </c>
      <c r="C21" s="31" t="inlineStr">
        <is>
          <t>Mined</t>
        </is>
      </c>
      <c r="D21" s="31" t="inlineStr">
        <is>
          <t>Venetia Mine, Limpopo, South Africa</t>
        </is>
      </c>
      <c r="E21" s="31" t="inlineStr">
        <is>
          <t>2024-01-09</t>
        </is>
      </c>
    </row>
    <row r="22">
      <c r="A22" s="30" t="inlineStr">
        <is>
          <t>005</t>
        </is>
      </c>
      <c r="B22" s="31" t="n">
        <v>2</v>
      </c>
      <c r="C22" s="31" t="inlineStr">
        <is>
          <t>Sorted &amp; Graded</t>
        </is>
      </c>
      <c r="D22" s="31" t="inlineStr">
        <is>
          <t>Johannesburg, South Africa</t>
        </is>
      </c>
      <c r="E22" s="31" t="inlineStr">
        <is>
          <t>2024-02-20</t>
        </is>
      </c>
    </row>
    <row r="23">
      <c r="A23" s="30" t="inlineStr">
        <is>
          <t>005</t>
        </is>
      </c>
      <c r="B23" s="31" t="n">
        <v>3</v>
      </c>
      <c r="C23" s="31" t="inlineStr">
        <is>
          <t>Cut &amp; Polished</t>
        </is>
      </c>
      <c r="D23" s="31" t="inlineStr">
        <is>
          <t>Surat, India</t>
        </is>
      </c>
      <c r="E23" s="31" t="inlineStr">
        <is>
          <t>2024-05-30</t>
        </is>
      </c>
    </row>
    <row r="24">
      <c r="A24" s="30" t="inlineStr">
        <is>
          <t>005</t>
        </is>
      </c>
      <c r="B24" s="31" t="n">
        <v>4</v>
      </c>
      <c r="C24" s="31" t="inlineStr">
        <is>
          <t>Certified</t>
        </is>
      </c>
      <c r="D24" s="31" t="inlineStr">
        <is>
          <t>GIA, New York</t>
        </is>
      </c>
      <c r="E24" s="31" t="inlineStr">
        <is>
          <t>2024-08-19</t>
        </is>
      </c>
    </row>
    <row r="25">
      <c r="A25" s="30" t="inlineStr">
        <is>
          <t>005</t>
        </is>
      </c>
      <c r="B25" s="31" t="n">
        <v>5</v>
      </c>
      <c r="C25" s="31" t="inlineStr">
        <is>
          <t>Delivered to Retailer</t>
        </is>
      </c>
      <c r="D25" s="31" t="inlineStr">
        <is>
          <t>New York, NY</t>
        </is>
      </c>
      <c r="E25" s="31" t="inlineStr">
        <is>
          <t>2024-09-10</t>
        </is>
      </c>
    </row>
    <row r="26">
      <c r="A26" s="31" t="n"/>
      <c r="B26" s="31" t="n"/>
      <c r="C26" s="31" t="n"/>
      <c r="D26" s="31" t="n"/>
      <c r="E26" s="31" t="n"/>
    </row>
    <row r="27">
      <c r="A27" s="31" t="n"/>
      <c r="B27" s="31" t="n"/>
      <c r="C27" s="31" t="n"/>
      <c r="D27" s="31" t="n"/>
      <c r="E27" s="31" t="n"/>
    </row>
    <row r="28">
      <c r="A28" s="31" t="n"/>
      <c r="B28" s="31" t="n"/>
      <c r="C28" s="31" t="n"/>
      <c r="D28" s="31" t="n"/>
      <c r="E28" s="31" t="n"/>
    </row>
    <row r="29">
      <c r="A29" s="31" t="n"/>
      <c r="B29" s="31" t="n"/>
      <c r="C29" s="31" t="n"/>
      <c r="D29" s="31" t="n"/>
      <c r="E29" s="31" t="n"/>
    </row>
    <row r="30">
      <c r="A30" s="31" t="n"/>
      <c r="B30" s="31" t="n"/>
      <c r="C30" s="31" t="n"/>
      <c r="D30" s="31" t="n"/>
      <c r="E30" s="31" t="n"/>
    </row>
    <row r="31">
      <c r="A31" s="31" t="n"/>
      <c r="B31" s="31" t="n"/>
      <c r="C31" s="31" t="n"/>
      <c r="D31" s="31" t="n"/>
      <c r="E31" s="31" t="n"/>
    </row>
    <row r="32">
      <c r="A32" s="31" t="n"/>
      <c r="B32" s="31" t="n"/>
      <c r="C32" s="31" t="n"/>
      <c r="D32" s="31" t="n"/>
      <c r="E32" s="31" t="n"/>
    </row>
    <row r="33">
      <c r="A33" s="31" t="n"/>
      <c r="B33" s="31" t="n"/>
      <c r="C33" s="31" t="n"/>
      <c r="D33" s="31" t="n"/>
      <c r="E33" s="31" t="n"/>
    </row>
    <row r="34">
      <c r="A34" s="31" t="n"/>
      <c r="B34" s="31" t="n"/>
      <c r="C34" s="31" t="n"/>
      <c r="D34" s="31" t="n"/>
      <c r="E34" s="31" t="n"/>
    </row>
    <row r="35">
      <c r="A35" s="31" t="n"/>
      <c r="B35" s="31" t="n"/>
      <c r="C35" s="31" t="n"/>
      <c r="D35" s="31" t="n"/>
      <c r="E35" s="31" t="n"/>
    </row>
    <row r="36">
      <c r="A36" s="31" t="n"/>
      <c r="B36" s="31" t="n"/>
      <c r="C36" s="31" t="n"/>
      <c r="D36" s="31" t="n"/>
      <c r="E36" s="31" t="n"/>
    </row>
    <row r="37">
      <c r="A37" s="31" t="n"/>
      <c r="B37" s="31" t="n"/>
      <c r="C37" s="31" t="n"/>
      <c r="D37" s="31" t="n"/>
      <c r="E37" s="31" t="n"/>
    </row>
    <row r="38">
      <c r="A38" s="31" t="n"/>
      <c r="B38" s="31" t="n"/>
      <c r="C38" s="31" t="n"/>
      <c r="D38" s="31" t="n"/>
      <c r="E38" s="31" t="n"/>
    </row>
    <row r="39">
      <c r="A39" s="31" t="n"/>
      <c r="B39" s="31" t="n"/>
      <c r="C39" s="31" t="n"/>
      <c r="D39" s="31" t="n"/>
      <c r="E39" s="31" t="n"/>
    </row>
    <row r="40">
      <c r="A40" s="31" t="n"/>
      <c r="B40" s="31" t="n"/>
      <c r="C40" s="31" t="n"/>
      <c r="D40" s="31" t="n"/>
      <c r="E40" s="31" t="n"/>
    </row>
    <row r="41">
      <c r="A41" s="31" t="n"/>
      <c r="B41" s="31" t="n"/>
      <c r="C41" s="31" t="n"/>
      <c r="D41" s="31" t="n"/>
      <c r="E41" s="31" t="n"/>
    </row>
    <row r="42">
      <c r="A42" s="31" t="n"/>
      <c r="B42" s="31" t="n"/>
      <c r="C42" s="31" t="n"/>
      <c r="D42" s="31" t="n"/>
      <c r="E42" s="31" t="n"/>
    </row>
    <row r="43">
      <c r="A43" s="31" t="n"/>
      <c r="B43" s="31" t="n"/>
      <c r="C43" s="31" t="n"/>
      <c r="D43" s="31" t="n"/>
      <c r="E43" s="31" t="n"/>
    </row>
    <row r="44">
      <c r="A44" s="31" t="n"/>
      <c r="B44" s="31" t="n"/>
      <c r="C44" s="31" t="n"/>
      <c r="D44" s="31" t="n"/>
      <c r="E44" s="31" t="n"/>
    </row>
    <row r="45">
      <c r="A45" s="31" t="n"/>
      <c r="B45" s="31" t="n"/>
      <c r="C45" s="31" t="n"/>
      <c r="D45" s="31" t="n"/>
      <c r="E45" s="31" t="n"/>
    </row>
    <row r="46">
      <c r="A46" s="31" t="n"/>
      <c r="B46" s="31" t="n"/>
      <c r="C46" s="31" t="n"/>
      <c r="D46" s="31" t="n"/>
      <c r="E46" s="31" t="n"/>
    </row>
    <row r="47">
      <c r="A47" s="31" t="n"/>
      <c r="B47" s="31" t="n"/>
      <c r="C47" s="31" t="n"/>
      <c r="D47" s="31" t="n"/>
      <c r="E47" s="31" t="n"/>
    </row>
    <row r="48">
      <c r="A48" s="31" t="n"/>
      <c r="B48" s="31" t="n"/>
      <c r="C48" s="31" t="n"/>
      <c r="D48" s="31" t="n"/>
      <c r="E48" s="31" t="n"/>
    </row>
    <row r="49">
      <c r="A49" s="31" t="n"/>
      <c r="B49" s="31" t="n"/>
      <c r="C49" s="31" t="n"/>
      <c r="D49" s="31" t="n"/>
      <c r="E49" s="31" t="n"/>
    </row>
    <row r="50">
      <c r="A50" s="31" t="n"/>
      <c r="B50" s="31" t="n"/>
      <c r="C50" s="31" t="n"/>
      <c r="D50" s="31" t="n"/>
      <c r="E50" s="31" t="n"/>
    </row>
    <row r="51">
      <c r="A51" s="31" t="n"/>
      <c r="B51" s="31" t="n"/>
      <c r="C51" s="31" t="n"/>
      <c r="D51" s="31" t="n"/>
      <c r="E51" s="31" t="n"/>
    </row>
    <row r="52">
      <c r="A52" s="31" t="n"/>
      <c r="B52" s="31" t="n"/>
      <c r="C52" s="31" t="n"/>
      <c r="D52" s="31" t="n"/>
      <c r="E52" s="31" t="n"/>
    </row>
    <row r="53">
      <c r="A53" s="31" t="n"/>
      <c r="B53" s="31" t="n"/>
      <c r="C53" s="31" t="n"/>
      <c r="D53" s="31" t="n"/>
      <c r="E53" s="31" t="n"/>
    </row>
    <row r="54">
      <c r="A54" s="31" t="n"/>
      <c r="B54" s="31" t="n"/>
      <c r="C54" s="31" t="n"/>
      <c r="D54" s="31" t="n"/>
      <c r="E54" s="31" t="n"/>
    </row>
    <row r="55">
      <c r="A55" s="31" t="n"/>
      <c r="B55" s="31" t="n"/>
      <c r="C55" s="31" t="n"/>
      <c r="D55" s="31" t="n"/>
      <c r="E55" s="31" t="n"/>
    </row>
    <row r="56">
      <c r="A56" s="31" t="n"/>
      <c r="B56" s="31" t="n"/>
      <c r="C56" s="31" t="n"/>
      <c r="D56" s="31" t="n"/>
      <c r="E56" s="31" t="n"/>
    </row>
    <row r="57">
      <c r="A57" s="31" t="n"/>
      <c r="B57" s="31" t="n"/>
      <c r="C57" s="31" t="n"/>
      <c r="D57" s="31" t="n"/>
      <c r="E57" s="31" t="n"/>
    </row>
    <row r="58">
      <c r="A58" s="31" t="n"/>
      <c r="B58" s="31" t="n"/>
      <c r="C58" s="31" t="n"/>
      <c r="D58" s="31" t="n"/>
      <c r="E58" s="31" t="n"/>
    </row>
    <row r="59">
      <c r="A59" s="31" t="n"/>
      <c r="B59" s="31" t="n"/>
      <c r="C59" s="31" t="n"/>
      <c r="D59" s="31" t="n"/>
      <c r="E59" s="31" t="n"/>
    </row>
    <row r="60">
      <c r="A60" s="31" t="n"/>
      <c r="B60" s="31" t="n"/>
      <c r="C60" s="31" t="n"/>
      <c r="D60" s="31" t="n"/>
      <c r="E60" s="31" t="n"/>
    </row>
    <row r="61">
      <c r="A61" s="31" t="n"/>
      <c r="B61" s="31" t="n"/>
      <c r="C61" s="31" t="n"/>
      <c r="D61" s="31" t="n"/>
      <c r="E61" s="31" t="n"/>
    </row>
    <row r="62">
      <c r="A62" s="31" t="n"/>
      <c r="B62" s="31" t="n"/>
      <c r="C62" s="31" t="n"/>
      <c r="D62" s="31" t="n"/>
      <c r="E62" s="31" t="n"/>
    </row>
    <row r="63">
      <c r="A63" s="31" t="n"/>
      <c r="B63" s="31" t="n"/>
      <c r="C63" s="31" t="n"/>
      <c r="D63" s="31" t="n"/>
      <c r="E63" s="31" t="n"/>
    </row>
    <row r="64">
      <c r="A64" s="31" t="n"/>
      <c r="B64" s="31" t="n"/>
      <c r="C64" s="31" t="n"/>
      <c r="D64" s="31" t="n"/>
      <c r="E64" s="31" t="n"/>
    </row>
    <row r="65">
      <c r="A65" s="31" t="n"/>
      <c r="B65" s="31" t="n"/>
      <c r="C65" s="31" t="n"/>
      <c r="D65" s="31" t="n"/>
      <c r="E65" s="31" t="n"/>
    </row>
    <row r="66">
      <c r="A66" s="31" t="n"/>
      <c r="B66" s="31" t="n"/>
      <c r="C66" s="31" t="n"/>
      <c r="D66" s="31" t="n"/>
      <c r="E66" s="31" t="n"/>
    </row>
    <row r="67">
      <c r="A67" s="31" t="n"/>
      <c r="B67" s="31" t="n"/>
      <c r="C67" s="31" t="n"/>
      <c r="D67" s="31" t="n"/>
      <c r="E67" s="31" t="n"/>
    </row>
    <row r="68">
      <c r="A68" s="31" t="n"/>
      <c r="B68" s="31" t="n"/>
      <c r="C68" s="31" t="n"/>
      <c r="D68" s="31" t="n"/>
      <c r="E68" s="31" t="n"/>
    </row>
    <row r="69">
      <c r="A69" s="31" t="n"/>
      <c r="B69" s="31" t="n"/>
      <c r="C69" s="31" t="n"/>
      <c r="D69" s="31" t="n"/>
      <c r="E69" s="31" t="n"/>
    </row>
    <row r="70">
      <c r="A70" s="31" t="n"/>
      <c r="B70" s="31" t="n"/>
      <c r="C70" s="31" t="n"/>
      <c r="D70" s="31" t="n"/>
      <c r="E70" s="31" t="n"/>
    </row>
    <row r="71">
      <c r="A71" s="31" t="n"/>
      <c r="B71" s="31" t="n"/>
      <c r="C71" s="31" t="n"/>
      <c r="D71" s="31" t="n"/>
      <c r="E71" s="31" t="n"/>
    </row>
    <row r="72">
      <c r="A72" s="31" t="n"/>
      <c r="B72" s="31" t="n"/>
      <c r="C72" s="31" t="n"/>
      <c r="D72" s="31" t="n"/>
      <c r="E72" s="31" t="n"/>
    </row>
    <row r="73">
      <c r="A73" s="31" t="n"/>
      <c r="B73" s="31" t="n"/>
      <c r="C73" s="31" t="n"/>
      <c r="D73" s="31" t="n"/>
      <c r="E73" s="31" t="n"/>
    </row>
    <row r="74">
      <c r="A74" s="31" t="n"/>
      <c r="B74" s="31" t="n"/>
      <c r="C74" s="31" t="n"/>
      <c r="D74" s="31" t="n"/>
      <c r="E74" s="31" t="n"/>
    </row>
    <row r="75">
      <c r="A75" s="31" t="n"/>
      <c r="B75" s="31" t="n"/>
      <c r="C75" s="31" t="n"/>
      <c r="D75" s="31" t="n"/>
      <c r="E75" s="31" t="n"/>
    </row>
    <row r="76">
      <c r="A76" s="31" t="n"/>
      <c r="B76" s="31" t="n"/>
      <c r="C76" s="31" t="n"/>
      <c r="D76" s="31" t="n"/>
      <c r="E76" s="31" t="n"/>
    </row>
    <row r="77">
      <c r="A77" s="31" t="n"/>
      <c r="B77" s="31" t="n"/>
      <c r="C77" s="31" t="n"/>
      <c r="D77" s="31" t="n"/>
      <c r="E77" s="31" t="n"/>
    </row>
    <row r="78">
      <c r="A78" s="31" t="n"/>
      <c r="B78" s="31" t="n"/>
      <c r="C78" s="31" t="n"/>
      <c r="D78" s="31" t="n"/>
      <c r="E78" s="31" t="n"/>
    </row>
    <row r="79">
      <c r="A79" s="31" t="n"/>
      <c r="B79" s="31" t="n"/>
      <c r="C79" s="31" t="n"/>
      <c r="D79" s="31" t="n"/>
      <c r="E79" s="31" t="n"/>
    </row>
    <row r="80">
      <c r="A80" s="31" t="n"/>
      <c r="B80" s="31" t="n"/>
      <c r="C80" s="31" t="n"/>
      <c r="D80" s="31" t="n"/>
      <c r="E80" s="31" t="n"/>
    </row>
    <row r="81">
      <c r="A81" s="31" t="n"/>
      <c r="B81" s="31" t="n"/>
      <c r="C81" s="31" t="n"/>
      <c r="D81" s="31" t="n"/>
      <c r="E81" s="31" t="n"/>
    </row>
    <row r="82">
      <c r="A82" s="31" t="n"/>
      <c r="B82" s="31" t="n"/>
      <c r="C82" s="31" t="n"/>
      <c r="D82" s="31" t="n"/>
      <c r="E82" s="31" t="n"/>
    </row>
    <row r="83">
      <c r="A83" s="31" t="n"/>
      <c r="B83" s="31" t="n"/>
      <c r="C83" s="31" t="n"/>
      <c r="D83" s="31" t="n"/>
      <c r="E83" s="31" t="n"/>
    </row>
    <row r="84">
      <c r="A84" s="31" t="n"/>
      <c r="B84" s="31" t="n"/>
      <c r="C84" s="31" t="n"/>
      <c r="D84" s="31" t="n"/>
      <c r="E84" s="31" t="n"/>
    </row>
    <row r="85">
      <c r="A85" s="31" t="n"/>
      <c r="B85" s="31" t="n"/>
      <c r="C85" s="31" t="n"/>
      <c r="D85" s="31" t="n"/>
      <c r="E85" s="31" t="n"/>
    </row>
    <row r="86">
      <c r="A86" s="31" t="n"/>
      <c r="B86" s="31" t="n"/>
      <c r="C86" s="31" t="n"/>
      <c r="D86" s="31" t="n"/>
      <c r="E86" s="31" t="n"/>
    </row>
    <row r="87">
      <c r="A87" s="31" t="n"/>
      <c r="B87" s="31" t="n"/>
      <c r="C87" s="31" t="n"/>
      <c r="D87" s="31" t="n"/>
      <c r="E87" s="31" t="n"/>
    </row>
    <row r="88">
      <c r="A88" s="31" t="n"/>
      <c r="B88" s="31" t="n"/>
      <c r="C88" s="31" t="n"/>
      <c r="D88" s="31" t="n"/>
      <c r="E88" s="31" t="n"/>
    </row>
    <row r="89">
      <c r="A89" s="31" t="n"/>
      <c r="B89" s="31" t="n"/>
      <c r="C89" s="31" t="n"/>
      <c r="D89" s="31" t="n"/>
      <c r="E89" s="31" t="n"/>
    </row>
    <row r="90">
      <c r="A90" s="31" t="n"/>
      <c r="B90" s="31" t="n"/>
      <c r="C90" s="31" t="n"/>
      <c r="D90" s="31" t="n"/>
      <c r="E90" s="31" t="n"/>
    </row>
    <row r="91">
      <c r="A91" s="31" t="n"/>
      <c r="B91" s="31" t="n"/>
      <c r="C91" s="31" t="n"/>
      <c r="D91" s="31" t="n"/>
      <c r="E91" s="31" t="n"/>
    </row>
    <row r="92">
      <c r="A92" s="31" t="n"/>
      <c r="B92" s="31" t="n"/>
      <c r="C92" s="31" t="n"/>
      <c r="D92" s="31" t="n"/>
      <c r="E92" s="31" t="n"/>
    </row>
    <row r="93">
      <c r="A93" s="31" t="n"/>
      <c r="B93" s="31" t="n"/>
      <c r="C93" s="31" t="n"/>
      <c r="D93" s="31" t="n"/>
      <c r="E93" s="31" t="n"/>
    </row>
    <row r="94">
      <c r="A94" s="31" t="n"/>
      <c r="B94" s="31" t="n"/>
      <c r="C94" s="31" t="n"/>
      <c r="D94" s="31" t="n"/>
      <c r="E94" s="31" t="n"/>
    </row>
    <row r="95">
      <c r="A95" s="31" t="n"/>
      <c r="B95" s="31" t="n"/>
      <c r="C95" s="31" t="n"/>
      <c r="D95" s="31" t="n"/>
      <c r="E95" s="31" t="n"/>
    </row>
    <row r="96">
      <c r="A96" s="31" t="n"/>
      <c r="B96" s="31" t="n"/>
      <c r="C96" s="31" t="n"/>
      <c r="D96" s="31" t="n"/>
      <c r="E96" s="31" t="n"/>
    </row>
    <row r="97">
      <c r="A97" s="31" t="n"/>
      <c r="B97" s="31" t="n"/>
      <c r="C97" s="31" t="n"/>
      <c r="D97" s="31" t="n"/>
      <c r="E97" s="31" t="n"/>
    </row>
    <row r="98">
      <c r="A98" s="31" t="n"/>
      <c r="B98" s="31" t="n"/>
      <c r="C98" s="31" t="n"/>
      <c r="D98" s="31" t="n"/>
      <c r="E98" s="31" t="n"/>
    </row>
    <row r="99">
      <c r="A99" s="31" t="n"/>
      <c r="B99" s="31" t="n"/>
      <c r="C99" s="31" t="n"/>
      <c r="D99" s="31" t="n"/>
      <c r="E99" s="31" t="n"/>
    </row>
    <row r="100">
      <c r="A100" s="31" t="n"/>
      <c r="B100" s="31" t="n"/>
      <c r="C100" s="31" t="n"/>
      <c r="D100" s="31" t="n"/>
      <c r="E100" s="31" t="n"/>
    </row>
    <row r="101">
      <c r="A101" s="31" t="n"/>
      <c r="B101" s="31" t="n"/>
      <c r="C101" s="31" t="n"/>
      <c r="D101" s="31" t="n"/>
      <c r="E101" s="31" t="n"/>
    </row>
    <row r="102">
      <c r="A102" s="31" t="n"/>
      <c r="B102" s="31" t="n"/>
      <c r="C102" s="31" t="n"/>
      <c r="D102" s="31" t="n"/>
      <c r="E102" s="31" t="n"/>
    </row>
    <row r="103">
      <c r="A103" s="31" t="n"/>
      <c r="B103" s="31" t="n"/>
      <c r="C103" s="31" t="n"/>
      <c r="D103" s="31" t="n"/>
      <c r="E103" s="31" t="n"/>
    </row>
    <row r="104">
      <c r="A104" s="31" t="n"/>
      <c r="B104" s="31" t="n"/>
      <c r="C104" s="31" t="n"/>
      <c r="D104" s="31" t="n"/>
      <c r="E104" s="31" t="n"/>
    </row>
    <row r="105">
      <c r="A105" s="31" t="n"/>
      <c r="B105" s="31" t="n"/>
      <c r="C105" s="31" t="n"/>
      <c r="D105" s="31" t="n"/>
      <c r="E105" s="31" t="n"/>
    </row>
    <row r="106">
      <c r="A106" s="31" t="n"/>
      <c r="B106" s="31" t="n"/>
      <c r="C106" s="31" t="n"/>
      <c r="D106" s="31" t="n"/>
      <c r="E106" s="31" t="n"/>
    </row>
    <row r="107">
      <c r="A107" s="31" t="n"/>
      <c r="B107" s="31" t="n"/>
      <c r="C107" s="31" t="n"/>
      <c r="D107" s="31" t="n"/>
      <c r="E107" s="31" t="n"/>
    </row>
    <row r="108">
      <c r="A108" s="31" t="n"/>
      <c r="B108" s="31" t="n"/>
      <c r="C108" s="31" t="n"/>
      <c r="D108" s="31" t="n"/>
      <c r="E108" s="31" t="n"/>
    </row>
    <row r="109">
      <c r="A109" s="31" t="n"/>
      <c r="B109" s="31" t="n"/>
      <c r="C109" s="31" t="n"/>
      <c r="D109" s="31" t="n"/>
      <c r="E109" s="31" t="n"/>
    </row>
    <row r="110">
      <c r="A110" s="31" t="n"/>
      <c r="B110" s="31" t="n"/>
      <c r="C110" s="31" t="n"/>
      <c r="D110" s="31" t="n"/>
      <c r="E110" s="31" t="n"/>
    </row>
    <row r="111">
      <c r="A111" s="31" t="n"/>
      <c r="B111" s="31" t="n"/>
      <c r="C111" s="31" t="n"/>
      <c r="D111" s="31" t="n"/>
      <c r="E111" s="31" t="n"/>
    </row>
    <row r="112">
      <c r="A112" s="31" t="n"/>
      <c r="B112" s="31" t="n"/>
      <c r="C112" s="31" t="n"/>
      <c r="D112" s="31" t="n"/>
      <c r="E112" s="31" t="n"/>
    </row>
    <row r="113">
      <c r="A113" s="31" t="n"/>
      <c r="B113" s="31" t="n"/>
      <c r="C113" s="31" t="n"/>
      <c r="D113" s="31" t="n"/>
      <c r="E113" s="31" t="n"/>
    </row>
    <row r="114">
      <c r="A114" s="31" t="n"/>
      <c r="B114" s="31" t="n"/>
      <c r="C114" s="31" t="n"/>
      <c r="D114" s="31" t="n"/>
      <c r="E114" s="31" t="n"/>
    </row>
    <row r="115">
      <c r="A115" s="31" t="n"/>
      <c r="B115" s="31" t="n"/>
      <c r="C115" s="31" t="n"/>
      <c r="D115" s="31" t="n"/>
      <c r="E115" s="31" t="n"/>
    </row>
    <row r="116">
      <c r="A116" s="31" t="n"/>
      <c r="B116" s="31" t="n"/>
      <c r="C116" s="31" t="n"/>
      <c r="D116" s="31" t="n"/>
      <c r="E116" s="31" t="n"/>
    </row>
    <row r="117">
      <c r="A117" s="31" t="n"/>
      <c r="B117" s="31" t="n"/>
      <c r="C117" s="31" t="n"/>
      <c r="D117" s="31" t="n"/>
      <c r="E117" s="31" t="n"/>
    </row>
    <row r="118">
      <c r="A118" s="31" t="n"/>
      <c r="B118" s="31" t="n"/>
      <c r="C118" s="31" t="n"/>
      <c r="D118" s="31" t="n"/>
      <c r="E118" s="31" t="n"/>
    </row>
    <row r="119">
      <c r="A119" s="31" t="n"/>
      <c r="B119" s="31" t="n"/>
      <c r="C119" s="31" t="n"/>
      <c r="D119" s="31" t="n"/>
      <c r="E119" s="31" t="n"/>
    </row>
    <row r="120">
      <c r="A120" s="31" t="n"/>
      <c r="B120" s="31" t="n"/>
      <c r="C120" s="31" t="n"/>
      <c r="D120" s="31" t="n"/>
      <c r="E120" s="31" t="n"/>
    </row>
    <row r="121">
      <c r="A121" s="31" t="n"/>
      <c r="B121" s="31" t="n"/>
      <c r="C121" s="31" t="n"/>
      <c r="D121" s="31" t="n"/>
      <c r="E121" s="31" t="n"/>
    </row>
    <row r="122">
      <c r="A122" s="31" t="n"/>
      <c r="B122" s="31" t="n"/>
      <c r="C122" s="31" t="n"/>
      <c r="D122" s="31" t="n"/>
      <c r="E122" s="31" t="n"/>
    </row>
    <row r="123">
      <c r="A123" s="31" t="n"/>
      <c r="B123" s="31" t="n"/>
      <c r="C123" s="31" t="n"/>
      <c r="D123" s="31" t="n"/>
      <c r="E123" s="31" t="n"/>
    </row>
    <row r="124">
      <c r="A124" s="31" t="n"/>
      <c r="B124" s="31" t="n"/>
      <c r="C124" s="31" t="n"/>
      <c r="D124" s="31" t="n"/>
      <c r="E124" s="31" t="n"/>
    </row>
    <row r="125">
      <c r="A125" s="31" t="n"/>
      <c r="B125" s="31" t="n"/>
      <c r="C125" s="31" t="n"/>
      <c r="D125" s="31" t="n"/>
      <c r="E125" s="31" t="n"/>
    </row>
    <row r="126">
      <c r="A126" s="31" t="n"/>
      <c r="B126" s="31" t="n"/>
      <c r="C126" s="31" t="n"/>
      <c r="D126" s="31" t="n"/>
      <c r="E126" s="31" t="n"/>
    </row>
    <row r="127">
      <c r="A127" s="31" t="n"/>
      <c r="B127" s="31" t="n"/>
      <c r="C127" s="31" t="n"/>
      <c r="D127" s="31" t="n"/>
      <c r="E127" s="31" t="n"/>
    </row>
    <row r="128">
      <c r="A128" s="31" t="n"/>
      <c r="B128" s="31" t="n"/>
      <c r="C128" s="31" t="n"/>
      <c r="D128" s="31" t="n"/>
      <c r="E128" s="31" t="n"/>
    </row>
    <row r="129">
      <c r="A129" s="31" t="n"/>
      <c r="B129" s="31" t="n"/>
      <c r="C129" s="31" t="n"/>
      <c r="D129" s="31" t="n"/>
      <c r="E129" s="31" t="n"/>
    </row>
    <row r="130">
      <c r="A130" s="31" t="n"/>
      <c r="B130" s="31" t="n"/>
      <c r="C130" s="31" t="n"/>
      <c r="D130" s="31" t="n"/>
      <c r="E130" s="31" t="n"/>
    </row>
    <row r="131">
      <c r="A131" s="31" t="n"/>
      <c r="B131" s="31" t="n"/>
      <c r="C131" s="31" t="n"/>
      <c r="D131" s="31" t="n"/>
      <c r="E131" s="31" t="n"/>
    </row>
    <row r="132">
      <c r="A132" s="31" t="n"/>
      <c r="B132" s="31" t="n"/>
      <c r="C132" s="31" t="n"/>
      <c r="D132" s="31" t="n"/>
      <c r="E132" s="31" t="n"/>
    </row>
    <row r="133">
      <c r="A133" s="31" t="n"/>
      <c r="B133" s="31" t="n"/>
      <c r="C133" s="31" t="n"/>
      <c r="D133" s="31" t="n"/>
      <c r="E133" s="31" t="n"/>
    </row>
    <row r="134">
      <c r="A134" s="31" t="n"/>
      <c r="B134" s="31" t="n"/>
      <c r="C134" s="31" t="n"/>
      <c r="D134" s="31" t="n"/>
      <c r="E134" s="31" t="n"/>
    </row>
    <row r="135">
      <c r="A135" s="31" t="n"/>
      <c r="B135" s="31" t="n"/>
      <c r="C135" s="31" t="n"/>
      <c r="D135" s="31" t="n"/>
      <c r="E135" s="31" t="n"/>
    </row>
    <row r="136">
      <c r="A136" s="31" t="n"/>
      <c r="B136" s="31" t="n"/>
      <c r="C136" s="31" t="n"/>
      <c r="D136" s="31" t="n"/>
      <c r="E136" s="31" t="n"/>
    </row>
    <row r="137">
      <c r="A137" s="31" t="n"/>
      <c r="B137" s="31" t="n"/>
      <c r="C137" s="31" t="n"/>
      <c r="D137" s="31" t="n"/>
      <c r="E137" s="31" t="n"/>
    </row>
    <row r="138">
      <c r="A138" s="31" t="n"/>
      <c r="B138" s="31" t="n"/>
      <c r="C138" s="31" t="n"/>
      <c r="D138" s="31" t="n"/>
      <c r="E138" s="31" t="n"/>
    </row>
    <row r="139">
      <c r="A139" s="31" t="n"/>
      <c r="B139" s="31" t="n"/>
      <c r="C139" s="31" t="n"/>
      <c r="D139" s="31" t="n"/>
      <c r="E139" s="31" t="n"/>
    </row>
    <row r="140">
      <c r="A140" s="31" t="n"/>
      <c r="B140" s="31" t="n"/>
      <c r="C140" s="31" t="n"/>
      <c r="D140" s="31" t="n"/>
      <c r="E140" s="31" t="n"/>
    </row>
    <row r="141">
      <c r="A141" s="31" t="n"/>
      <c r="B141" s="31" t="n"/>
      <c r="C141" s="31" t="n"/>
      <c r="D141" s="31" t="n"/>
      <c r="E141" s="31" t="n"/>
    </row>
    <row r="142">
      <c r="A142" s="31" t="n"/>
      <c r="B142" s="31" t="n"/>
      <c r="C142" s="31" t="n"/>
      <c r="D142" s="31" t="n"/>
      <c r="E142" s="31" t="n"/>
    </row>
    <row r="143">
      <c r="A143" s="31" t="n"/>
      <c r="B143" s="31" t="n"/>
      <c r="C143" s="31" t="n"/>
      <c r="D143" s="31" t="n"/>
      <c r="E143" s="31" t="n"/>
    </row>
    <row r="144">
      <c r="A144" s="31" t="n"/>
      <c r="B144" s="31" t="n"/>
      <c r="C144" s="31" t="n"/>
      <c r="D144" s="31" t="n"/>
      <c r="E144" s="31" t="n"/>
    </row>
    <row r="145">
      <c r="A145" s="31" t="n"/>
      <c r="B145" s="31" t="n"/>
      <c r="C145" s="31" t="n"/>
      <c r="D145" s="31" t="n"/>
      <c r="E145" s="31" t="n"/>
    </row>
    <row r="146">
      <c r="A146" s="31" t="n"/>
      <c r="B146" s="31" t="n"/>
      <c r="C146" s="31" t="n"/>
      <c r="D146" s="31" t="n"/>
      <c r="E146" s="31" t="n"/>
    </row>
    <row r="147">
      <c r="A147" s="31" t="n"/>
      <c r="B147" s="31" t="n"/>
      <c r="C147" s="31" t="n"/>
      <c r="D147" s="31" t="n"/>
      <c r="E147" s="31" t="n"/>
    </row>
    <row r="148">
      <c r="A148" s="31" t="n"/>
      <c r="B148" s="31" t="n"/>
      <c r="C148" s="31" t="n"/>
      <c r="D148" s="31" t="n"/>
      <c r="E148" s="31" t="n"/>
    </row>
    <row r="149">
      <c r="A149" s="31" t="n"/>
      <c r="B149" s="31" t="n"/>
      <c r="C149" s="31" t="n"/>
      <c r="D149" s="31" t="n"/>
      <c r="E149" s="31" t="n"/>
    </row>
    <row r="150">
      <c r="A150" s="31" t="n"/>
      <c r="B150" s="31" t="n"/>
      <c r="C150" s="31" t="n"/>
      <c r="D150" s="31" t="n"/>
      <c r="E150" s="31" t="n"/>
    </row>
    <row r="151">
      <c r="A151" s="31" t="n"/>
      <c r="B151" s="31" t="n"/>
      <c r="C151" s="31" t="n"/>
      <c r="D151" s="31" t="n"/>
      <c r="E151" s="31" t="n"/>
    </row>
    <row r="152">
      <c r="A152" s="31" t="n"/>
      <c r="B152" s="31" t="n"/>
      <c r="C152" s="31" t="n"/>
      <c r="D152" s="31" t="n"/>
      <c r="E152" s="31" t="n"/>
    </row>
    <row r="153">
      <c r="A153" s="31" t="n"/>
      <c r="B153" s="31" t="n"/>
      <c r="C153" s="31" t="n"/>
      <c r="D153" s="31" t="n"/>
      <c r="E153" s="31" t="n"/>
    </row>
    <row r="154">
      <c r="A154" s="31" t="n"/>
      <c r="B154" s="31" t="n"/>
      <c r="C154" s="31" t="n"/>
      <c r="D154" s="31" t="n"/>
      <c r="E154" s="31" t="n"/>
    </row>
    <row r="155">
      <c r="A155" s="31" t="n"/>
      <c r="B155" s="31" t="n"/>
      <c r="C155" s="31" t="n"/>
      <c r="D155" s="31" t="n"/>
      <c r="E155" s="31" t="n"/>
    </row>
    <row r="156">
      <c r="A156" s="31" t="n"/>
      <c r="B156" s="31" t="n"/>
      <c r="C156" s="31" t="n"/>
      <c r="D156" s="31" t="n"/>
      <c r="E156" s="31" t="n"/>
    </row>
    <row r="157">
      <c r="A157" s="31" t="n"/>
      <c r="B157" s="31" t="n"/>
      <c r="C157" s="31" t="n"/>
      <c r="D157" s="31" t="n"/>
      <c r="E157" s="31" t="n"/>
    </row>
    <row r="158">
      <c r="A158" s="31" t="n"/>
      <c r="B158" s="31" t="n"/>
      <c r="C158" s="31" t="n"/>
      <c r="D158" s="31" t="n"/>
      <c r="E158" s="31" t="n"/>
    </row>
    <row r="159">
      <c r="A159" s="31" t="n"/>
      <c r="B159" s="31" t="n"/>
      <c r="C159" s="31" t="n"/>
      <c r="D159" s="31" t="n"/>
      <c r="E159" s="31" t="n"/>
    </row>
    <row r="160">
      <c r="A160" s="31" t="n"/>
      <c r="B160" s="31" t="n"/>
      <c r="C160" s="31" t="n"/>
      <c r="D160" s="31" t="n"/>
      <c r="E160" s="31" t="n"/>
    </row>
    <row r="161">
      <c r="A161" s="31" t="n"/>
      <c r="B161" s="31" t="n"/>
      <c r="C161" s="31" t="n"/>
      <c r="D161" s="31" t="n"/>
      <c r="E161" s="31" t="n"/>
    </row>
    <row r="162">
      <c r="A162" s="31" t="n"/>
      <c r="B162" s="31" t="n"/>
      <c r="C162" s="31" t="n"/>
      <c r="D162" s="31" t="n"/>
      <c r="E162" s="31" t="n"/>
    </row>
    <row r="163">
      <c r="A163" s="31" t="n"/>
      <c r="B163" s="31" t="n"/>
      <c r="C163" s="31" t="n"/>
      <c r="D163" s="31" t="n"/>
      <c r="E163" s="31" t="n"/>
    </row>
    <row r="164">
      <c r="A164" s="31" t="n"/>
      <c r="B164" s="31" t="n"/>
      <c r="C164" s="31" t="n"/>
      <c r="D164" s="31" t="n"/>
      <c r="E164" s="31" t="n"/>
    </row>
    <row r="165">
      <c r="A165" s="31" t="n"/>
      <c r="B165" s="31" t="n"/>
      <c r="C165" s="31" t="n"/>
      <c r="D165" s="31" t="n"/>
      <c r="E165" s="31" t="n"/>
    </row>
    <row r="166">
      <c r="A166" s="31" t="n"/>
      <c r="B166" s="31" t="n"/>
      <c r="C166" s="31" t="n"/>
      <c r="D166" s="31" t="n"/>
      <c r="E166" s="31" t="n"/>
    </row>
    <row r="167">
      <c r="A167" s="31" t="n"/>
      <c r="B167" s="31" t="n"/>
      <c r="C167" s="31" t="n"/>
      <c r="D167" s="31" t="n"/>
      <c r="E167" s="31" t="n"/>
    </row>
    <row r="168">
      <c r="A168" s="31" t="n"/>
      <c r="B168" s="31" t="n"/>
      <c r="C168" s="31" t="n"/>
      <c r="D168" s="31" t="n"/>
      <c r="E168" s="31" t="n"/>
    </row>
    <row r="169">
      <c r="A169" s="31" t="n"/>
      <c r="B169" s="31" t="n"/>
      <c r="C169" s="31" t="n"/>
      <c r="D169" s="31" t="n"/>
      <c r="E169" s="31" t="n"/>
    </row>
    <row r="170">
      <c r="A170" s="31" t="n"/>
      <c r="B170" s="31" t="n"/>
      <c r="C170" s="31" t="n"/>
      <c r="D170" s="31" t="n"/>
      <c r="E170" s="31" t="n"/>
    </row>
    <row r="171">
      <c r="A171" s="31" t="n"/>
      <c r="B171" s="31" t="n"/>
      <c r="C171" s="31" t="n"/>
      <c r="D171" s="31" t="n"/>
      <c r="E171" s="31" t="n"/>
    </row>
    <row r="172">
      <c r="A172" s="31" t="n"/>
      <c r="B172" s="31" t="n"/>
      <c r="C172" s="31" t="n"/>
      <c r="D172" s="31" t="n"/>
      <c r="E172" s="31" t="n"/>
    </row>
    <row r="173">
      <c r="A173" s="31" t="n"/>
      <c r="B173" s="31" t="n"/>
      <c r="C173" s="31" t="n"/>
      <c r="D173" s="31" t="n"/>
      <c r="E173" s="31" t="n"/>
    </row>
    <row r="174">
      <c r="A174" s="31" t="n"/>
      <c r="B174" s="31" t="n"/>
      <c r="C174" s="31" t="n"/>
      <c r="D174" s="31" t="n"/>
      <c r="E174" s="31" t="n"/>
    </row>
    <row r="175">
      <c r="A175" s="31" t="n"/>
      <c r="B175" s="31" t="n"/>
      <c r="C175" s="31" t="n"/>
      <c r="D175" s="31" t="n"/>
      <c r="E175" s="31" t="n"/>
    </row>
    <row r="176">
      <c r="A176" s="31" t="n"/>
      <c r="B176" s="31" t="n"/>
      <c r="C176" s="31" t="n"/>
      <c r="D176" s="31" t="n"/>
      <c r="E176" s="31" t="n"/>
    </row>
    <row r="177">
      <c r="A177" s="31" t="n"/>
      <c r="B177" s="31" t="n"/>
      <c r="C177" s="31" t="n"/>
      <c r="D177" s="31" t="n"/>
      <c r="E177" s="31" t="n"/>
    </row>
    <row r="178">
      <c r="A178" s="31" t="n"/>
      <c r="B178" s="31" t="n"/>
      <c r="C178" s="31" t="n"/>
      <c r="D178" s="31" t="n"/>
      <c r="E178" s="31" t="n"/>
    </row>
    <row r="179">
      <c r="A179" s="31" t="n"/>
      <c r="B179" s="31" t="n"/>
      <c r="C179" s="31" t="n"/>
      <c r="D179" s="31" t="n"/>
      <c r="E179" s="31" t="n"/>
    </row>
    <row r="180">
      <c r="A180" s="31" t="n"/>
      <c r="B180" s="31" t="n"/>
      <c r="C180" s="31" t="n"/>
      <c r="D180" s="31" t="n"/>
      <c r="E180" s="31" t="n"/>
    </row>
    <row r="181">
      <c r="A181" s="31" t="n"/>
      <c r="B181" s="31" t="n"/>
      <c r="C181" s="31" t="n"/>
      <c r="D181" s="31" t="n"/>
      <c r="E181" s="31" t="n"/>
    </row>
    <row r="182">
      <c r="A182" s="31" t="n"/>
      <c r="B182" s="31" t="n"/>
      <c r="C182" s="31" t="n"/>
      <c r="D182" s="31" t="n"/>
      <c r="E182" s="31" t="n"/>
    </row>
    <row r="183">
      <c r="A183" s="31" t="n"/>
      <c r="B183" s="31" t="n"/>
      <c r="C183" s="31" t="n"/>
      <c r="D183" s="31" t="n"/>
      <c r="E183" s="31" t="n"/>
    </row>
    <row r="184">
      <c r="A184" s="31" t="n"/>
      <c r="B184" s="31" t="n"/>
      <c r="C184" s="31" t="n"/>
      <c r="D184" s="31" t="n"/>
      <c r="E184" s="31" t="n"/>
    </row>
    <row r="185">
      <c r="A185" s="31" t="n"/>
      <c r="B185" s="31" t="n"/>
      <c r="C185" s="31" t="n"/>
      <c r="D185" s="31" t="n"/>
      <c r="E185" s="31" t="n"/>
    </row>
    <row r="186">
      <c r="A186" s="31" t="n"/>
      <c r="B186" s="31" t="n"/>
      <c r="C186" s="31" t="n"/>
      <c r="D186" s="31" t="n"/>
      <c r="E186" s="31" t="n"/>
    </row>
    <row r="187">
      <c r="A187" s="31" t="n"/>
      <c r="B187" s="31" t="n"/>
      <c r="C187" s="31" t="n"/>
      <c r="D187" s="31" t="n"/>
      <c r="E187" s="31" t="n"/>
    </row>
    <row r="188">
      <c r="A188" s="31" t="n"/>
      <c r="B188" s="31" t="n"/>
      <c r="C188" s="31" t="n"/>
      <c r="D188" s="31" t="n"/>
      <c r="E188" s="31" t="n"/>
    </row>
    <row r="189">
      <c r="A189" s="31" t="n"/>
      <c r="B189" s="31" t="n"/>
      <c r="C189" s="31" t="n"/>
      <c r="D189" s="31" t="n"/>
      <c r="E189" s="31" t="n"/>
    </row>
    <row r="190">
      <c r="A190" s="31" t="n"/>
      <c r="B190" s="31" t="n"/>
      <c r="C190" s="31" t="n"/>
      <c r="D190" s="31" t="n"/>
      <c r="E190" s="31" t="n"/>
    </row>
    <row r="191">
      <c r="A191" s="31" t="n"/>
      <c r="B191" s="31" t="n"/>
      <c r="C191" s="31" t="n"/>
      <c r="D191" s="31" t="n"/>
      <c r="E191" s="31" t="n"/>
    </row>
    <row r="192">
      <c r="A192" s="31" t="n"/>
      <c r="B192" s="31" t="n"/>
      <c r="C192" s="31" t="n"/>
      <c r="D192" s="31" t="n"/>
      <c r="E192" s="31" t="n"/>
    </row>
    <row r="193">
      <c r="A193" s="31" t="n"/>
      <c r="B193" s="31" t="n"/>
      <c r="C193" s="31" t="n"/>
      <c r="D193" s="31" t="n"/>
      <c r="E193" s="31" t="n"/>
    </row>
    <row r="194">
      <c r="A194" s="31" t="n"/>
      <c r="B194" s="31" t="n"/>
      <c r="C194" s="31" t="n"/>
      <c r="D194" s="31" t="n"/>
      <c r="E194" s="31" t="n"/>
    </row>
    <row r="195">
      <c r="A195" s="31" t="n"/>
      <c r="B195" s="31" t="n"/>
      <c r="C195" s="31" t="n"/>
      <c r="D195" s="31" t="n"/>
      <c r="E195" s="31" t="n"/>
    </row>
    <row r="196">
      <c r="A196" s="31" t="n"/>
      <c r="B196" s="31" t="n"/>
      <c r="C196" s="31" t="n"/>
      <c r="D196" s="31" t="n"/>
      <c r="E196" s="31" t="n"/>
    </row>
    <row r="197">
      <c r="A197" s="31" t="n"/>
      <c r="B197" s="31" t="n"/>
      <c r="C197" s="31" t="n"/>
      <c r="D197" s="31" t="n"/>
      <c r="E197" s="31" t="n"/>
    </row>
    <row r="198">
      <c r="A198" s="31" t="n"/>
      <c r="B198" s="31" t="n"/>
      <c r="C198" s="31" t="n"/>
      <c r="D198" s="31" t="n"/>
      <c r="E198" s="31" t="n"/>
    </row>
    <row r="199">
      <c r="A199" s="31" t="n"/>
      <c r="B199" s="31" t="n"/>
      <c r="C199" s="31" t="n"/>
      <c r="D199" s="31" t="n"/>
      <c r="E199" s="31" t="n"/>
    </row>
    <row r="200">
      <c r="A200" s="31" t="n"/>
      <c r="B200" s="31" t="n"/>
      <c r="C200" s="31" t="n"/>
      <c r="D200" s="31" t="n"/>
      <c r="E200" s="31" t="n"/>
    </row>
    <row r="201">
      <c r="A201" s="31" t="n"/>
      <c r="B201" s="31" t="n"/>
      <c r="C201" s="31" t="n"/>
      <c r="D201" s="31" t="n"/>
      <c r="E201" s="31" t="n"/>
    </row>
    <row r="202">
      <c r="A202" s="31" t="n"/>
      <c r="B202" s="31" t="n"/>
      <c r="C202" s="31" t="n"/>
      <c r="D202" s="31" t="n"/>
      <c r="E202" s="31" t="n"/>
    </row>
    <row r="203">
      <c r="A203" s="31" t="n"/>
      <c r="B203" s="31" t="n"/>
      <c r="C203" s="31" t="n"/>
      <c r="D203" s="31" t="n"/>
      <c r="E203" s="31" t="n"/>
    </row>
    <row r="204">
      <c r="A204" s="31" t="n"/>
      <c r="B204" s="31" t="n"/>
      <c r="C204" s="31" t="n"/>
      <c r="D204" s="31" t="n"/>
      <c r="E204" s="31" t="n"/>
    </row>
    <row r="205">
      <c r="A205" s="31" t="n"/>
      <c r="B205" s="31" t="n"/>
      <c r="C205" s="31" t="n"/>
      <c r="D205" s="31" t="n"/>
      <c r="E205" s="31" t="n"/>
    </row>
    <row r="206">
      <c r="A206" s="31" t="n"/>
      <c r="B206" s="31" t="n"/>
      <c r="C206" s="31" t="n"/>
      <c r="D206" s="31" t="n"/>
      <c r="E206" s="31" t="n"/>
    </row>
    <row r="207">
      <c r="A207" s="31" t="n"/>
      <c r="B207" s="31" t="n"/>
      <c r="C207" s="31" t="n"/>
      <c r="D207" s="31" t="n"/>
      <c r="E207" s="31" t="n"/>
    </row>
    <row r="208">
      <c r="A208" s="31" t="n"/>
      <c r="B208" s="31" t="n"/>
      <c r="C208" s="31" t="n"/>
      <c r="D208" s="31" t="n"/>
      <c r="E208" s="31" t="n"/>
    </row>
    <row r="209">
      <c r="A209" s="31" t="n"/>
      <c r="B209" s="31" t="n"/>
      <c r="C209" s="31" t="n"/>
      <c r="D209" s="31" t="n"/>
      <c r="E209" s="31" t="n"/>
    </row>
    <row r="210">
      <c r="A210" s="31" t="n"/>
      <c r="B210" s="31" t="n"/>
      <c r="C210" s="31" t="n"/>
      <c r="D210" s="31" t="n"/>
      <c r="E210" s="31" t="n"/>
    </row>
    <row r="211">
      <c r="A211" s="31" t="n"/>
      <c r="B211" s="31" t="n"/>
      <c r="C211" s="31" t="n"/>
      <c r="D211" s="31" t="n"/>
      <c r="E211" s="31" t="n"/>
    </row>
    <row r="212">
      <c r="A212" s="31" t="n"/>
      <c r="B212" s="31" t="n"/>
      <c r="C212" s="31" t="n"/>
      <c r="D212" s="31" t="n"/>
      <c r="E212" s="31" t="n"/>
    </row>
    <row r="213">
      <c r="A213" s="31" t="n"/>
      <c r="B213" s="31" t="n"/>
      <c r="C213" s="31" t="n"/>
      <c r="D213" s="31" t="n"/>
      <c r="E213" s="31" t="n"/>
    </row>
    <row r="214">
      <c r="A214" s="31" t="n"/>
      <c r="B214" s="31" t="n"/>
      <c r="C214" s="31" t="n"/>
      <c r="D214" s="31" t="n"/>
      <c r="E214" s="31" t="n"/>
    </row>
    <row r="215">
      <c r="A215" s="31" t="n"/>
      <c r="B215" s="31" t="n"/>
      <c r="C215" s="31" t="n"/>
      <c r="D215" s="31" t="n"/>
      <c r="E215" s="31" t="n"/>
    </row>
    <row r="216">
      <c r="A216" s="31" t="n"/>
      <c r="B216" s="31" t="n"/>
      <c r="C216" s="31" t="n"/>
      <c r="D216" s="31" t="n"/>
      <c r="E216" s="31" t="n"/>
    </row>
    <row r="217">
      <c r="A217" s="31" t="n"/>
      <c r="B217" s="31" t="n"/>
      <c r="C217" s="31" t="n"/>
      <c r="D217" s="31" t="n"/>
      <c r="E217" s="31" t="n"/>
    </row>
    <row r="218">
      <c r="A218" s="31" t="n"/>
      <c r="B218" s="31" t="n"/>
      <c r="C218" s="31" t="n"/>
      <c r="D218" s="31" t="n"/>
      <c r="E218" s="31" t="n"/>
    </row>
    <row r="219">
      <c r="A219" s="31" t="n"/>
      <c r="B219" s="31" t="n"/>
      <c r="C219" s="31" t="n"/>
      <c r="D219" s="31" t="n"/>
      <c r="E219" s="31" t="n"/>
    </row>
    <row r="220">
      <c r="A220" s="31" t="n"/>
      <c r="B220" s="31" t="n"/>
      <c r="C220" s="31" t="n"/>
      <c r="D220" s="31" t="n"/>
      <c r="E220" s="31" t="n"/>
    </row>
    <row r="221">
      <c r="A221" s="31" t="n"/>
      <c r="B221" s="31" t="n"/>
      <c r="C221" s="31" t="n"/>
      <c r="D221" s="31" t="n"/>
      <c r="E221" s="31" t="n"/>
    </row>
    <row r="222">
      <c r="A222" s="31" t="n"/>
      <c r="B222" s="31" t="n"/>
      <c r="C222" s="31" t="n"/>
      <c r="D222" s="31" t="n"/>
      <c r="E222" s="31" t="n"/>
    </row>
    <row r="223">
      <c r="A223" s="31" t="n"/>
      <c r="B223" s="31" t="n"/>
      <c r="C223" s="31" t="n"/>
      <c r="D223" s="31" t="n"/>
      <c r="E223" s="31" t="n"/>
    </row>
    <row r="224">
      <c r="A224" s="31" t="n"/>
      <c r="B224" s="31" t="n"/>
      <c r="C224" s="31" t="n"/>
      <c r="D224" s="31" t="n"/>
      <c r="E224" s="31" t="n"/>
    </row>
    <row r="225">
      <c r="A225" s="31" t="n"/>
      <c r="B225" s="31" t="n"/>
      <c r="C225" s="31" t="n"/>
      <c r="D225" s="31" t="n"/>
      <c r="E225" s="31" t="n"/>
    </row>
    <row r="226">
      <c r="A226" s="31" t="n"/>
      <c r="B226" s="31" t="n"/>
      <c r="C226" s="31" t="n"/>
      <c r="D226" s="31" t="n"/>
      <c r="E226" s="31" t="n"/>
    </row>
    <row r="227">
      <c r="A227" s="31" t="n"/>
      <c r="B227" s="31" t="n"/>
      <c r="C227" s="31" t="n"/>
      <c r="D227" s="31" t="n"/>
      <c r="E227" s="31" t="n"/>
    </row>
    <row r="228">
      <c r="A228" s="31" t="n"/>
      <c r="B228" s="31" t="n"/>
      <c r="C228" s="31" t="n"/>
      <c r="D228" s="31" t="n"/>
      <c r="E228" s="31" t="n"/>
    </row>
    <row r="229">
      <c r="A229" s="31" t="n"/>
      <c r="B229" s="31" t="n"/>
      <c r="C229" s="31" t="n"/>
      <c r="D229" s="31" t="n"/>
      <c r="E229" s="31" t="n"/>
    </row>
    <row r="230">
      <c r="A230" s="31" t="n"/>
      <c r="B230" s="31" t="n"/>
      <c r="C230" s="31" t="n"/>
      <c r="D230" s="31" t="n"/>
      <c r="E230" s="31" t="n"/>
    </row>
    <row r="231">
      <c r="A231" s="31" t="n"/>
      <c r="B231" s="31" t="n"/>
      <c r="C231" s="31" t="n"/>
      <c r="D231" s="31" t="n"/>
      <c r="E231" s="31" t="n"/>
    </row>
    <row r="232">
      <c r="A232" s="31" t="n"/>
      <c r="B232" s="31" t="n"/>
      <c r="C232" s="31" t="n"/>
      <c r="D232" s="31" t="n"/>
      <c r="E232" s="31" t="n"/>
    </row>
    <row r="233">
      <c r="A233" s="31" t="n"/>
      <c r="B233" s="31" t="n"/>
      <c r="C233" s="31" t="n"/>
      <c r="D233" s="31" t="n"/>
      <c r="E233" s="31" t="n"/>
    </row>
    <row r="234">
      <c r="A234" s="31" t="n"/>
      <c r="B234" s="31" t="n"/>
      <c r="C234" s="31" t="n"/>
      <c r="D234" s="31" t="n"/>
      <c r="E234" s="31" t="n"/>
    </row>
    <row r="235">
      <c r="A235" s="31" t="n"/>
      <c r="B235" s="31" t="n"/>
      <c r="C235" s="31" t="n"/>
      <c r="D235" s="31" t="n"/>
      <c r="E235" s="31" t="n"/>
    </row>
    <row r="236">
      <c r="A236" s="31" t="n"/>
      <c r="B236" s="31" t="n"/>
      <c r="C236" s="31" t="n"/>
      <c r="D236" s="31" t="n"/>
      <c r="E236" s="31" t="n"/>
    </row>
    <row r="237">
      <c r="A237" s="31" t="n"/>
      <c r="B237" s="31" t="n"/>
      <c r="C237" s="31" t="n"/>
      <c r="D237" s="31" t="n"/>
      <c r="E237" s="31" t="n"/>
    </row>
    <row r="238">
      <c r="A238" s="31" t="n"/>
      <c r="B238" s="31" t="n"/>
      <c r="C238" s="31" t="n"/>
      <c r="D238" s="31" t="n"/>
      <c r="E238" s="31" t="n"/>
    </row>
    <row r="239">
      <c r="A239" s="31" t="n"/>
      <c r="B239" s="31" t="n"/>
      <c r="C239" s="31" t="n"/>
      <c r="D239" s="31" t="n"/>
      <c r="E239" s="31" t="n"/>
    </row>
    <row r="240">
      <c r="A240" s="31" t="n"/>
      <c r="B240" s="31" t="n"/>
      <c r="C240" s="31" t="n"/>
      <c r="D240" s="31" t="n"/>
      <c r="E240" s="31" t="n"/>
    </row>
    <row r="241">
      <c r="A241" s="31" t="n"/>
      <c r="B241" s="31" t="n"/>
      <c r="C241" s="31" t="n"/>
      <c r="D241" s="31" t="n"/>
      <c r="E241" s="31" t="n"/>
    </row>
    <row r="242">
      <c r="A242" s="31" t="n"/>
      <c r="B242" s="31" t="n"/>
      <c r="C242" s="31" t="n"/>
      <c r="D242" s="31" t="n"/>
      <c r="E242" s="31" t="n"/>
    </row>
    <row r="243">
      <c r="A243" s="31" t="n"/>
      <c r="B243" s="31" t="n"/>
      <c r="C243" s="31" t="n"/>
      <c r="D243" s="31" t="n"/>
      <c r="E243" s="31" t="n"/>
    </row>
    <row r="244">
      <c r="A244" s="31" t="n"/>
      <c r="B244" s="31" t="n"/>
      <c r="C244" s="31" t="n"/>
      <c r="D244" s="31" t="n"/>
      <c r="E244" s="31" t="n"/>
    </row>
    <row r="245">
      <c r="A245" s="31" t="n"/>
      <c r="B245" s="31" t="n"/>
      <c r="C245" s="31" t="n"/>
      <c r="D245" s="31" t="n"/>
      <c r="E245" s="31" t="n"/>
    </row>
    <row r="246">
      <c r="A246" s="31" t="n"/>
      <c r="B246" s="31" t="n"/>
      <c r="C246" s="31" t="n"/>
      <c r="D246" s="31" t="n"/>
      <c r="E246" s="31" t="n"/>
    </row>
    <row r="247">
      <c r="A247" s="31" t="n"/>
      <c r="B247" s="31" t="n"/>
      <c r="C247" s="31" t="n"/>
      <c r="D247" s="31" t="n"/>
      <c r="E247" s="31" t="n"/>
    </row>
    <row r="248">
      <c r="A248" s="31" t="n"/>
      <c r="B248" s="31" t="n"/>
      <c r="C248" s="31" t="n"/>
      <c r="D248" s="31" t="n"/>
      <c r="E248" s="31" t="n"/>
    </row>
    <row r="249">
      <c r="A249" s="31" t="n"/>
      <c r="B249" s="31" t="n"/>
      <c r="C249" s="31" t="n"/>
      <c r="D249" s="31" t="n"/>
      <c r="E249" s="31" t="n"/>
    </row>
    <row r="250">
      <c r="A250" s="31" t="n"/>
      <c r="B250" s="31" t="n"/>
      <c r="C250" s="31" t="n"/>
      <c r="D250" s="31" t="n"/>
      <c r="E250" s="31" t="n"/>
    </row>
    <row r="251">
      <c r="A251" s="31" t="n"/>
      <c r="B251" s="31" t="n"/>
      <c r="C251" s="31" t="n"/>
      <c r="D251" s="31" t="n"/>
      <c r="E251" s="31" t="n"/>
    </row>
    <row r="252">
      <c r="A252" s="31" t="n"/>
      <c r="B252" s="31" t="n"/>
      <c r="C252" s="31" t="n"/>
      <c r="D252" s="31" t="n"/>
      <c r="E252" s="31" t="n"/>
    </row>
    <row r="253">
      <c r="A253" s="31" t="n"/>
      <c r="B253" s="31" t="n"/>
      <c r="C253" s="31" t="n"/>
      <c r="D253" s="31" t="n"/>
      <c r="E253" s="31" t="n"/>
    </row>
    <row r="254">
      <c r="A254" s="31" t="n"/>
      <c r="B254" s="31" t="n"/>
      <c r="C254" s="31" t="n"/>
      <c r="D254" s="31" t="n"/>
      <c r="E254" s="31" t="n"/>
    </row>
    <row r="255">
      <c r="A255" s="31" t="n"/>
      <c r="B255" s="31" t="n"/>
      <c r="C255" s="31" t="n"/>
      <c r="D255" s="31" t="n"/>
      <c r="E255" s="31" t="n"/>
    </row>
    <row r="256">
      <c r="A256" s="31" t="n"/>
      <c r="B256" s="31" t="n"/>
      <c r="C256" s="31" t="n"/>
      <c r="D256" s="31" t="n"/>
      <c r="E256" s="31" t="n"/>
    </row>
    <row r="257">
      <c r="A257" s="31" t="n"/>
      <c r="B257" s="31" t="n"/>
      <c r="C257" s="31" t="n"/>
      <c r="D257" s="31" t="n"/>
      <c r="E257" s="31" t="n"/>
    </row>
    <row r="258">
      <c r="A258" s="31" t="n"/>
      <c r="B258" s="31" t="n"/>
      <c r="C258" s="31" t="n"/>
      <c r="D258" s="31" t="n"/>
      <c r="E258" s="31" t="n"/>
    </row>
    <row r="259">
      <c r="A259" s="31" t="n"/>
      <c r="B259" s="31" t="n"/>
      <c r="C259" s="31" t="n"/>
      <c r="D259" s="31" t="n"/>
      <c r="E259" s="31" t="n"/>
    </row>
    <row r="260">
      <c r="A260" s="31" t="n"/>
      <c r="B260" s="31" t="n"/>
      <c r="C260" s="31" t="n"/>
      <c r="D260" s="31" t="n"/>
      <c r="E260" s="31" t="n"/>
    </row>
    <row r="261">
      <c r="A261" s="31" t="n"/>
      <c r="B261" s="31" t="n"/>
      <c r="C261" s="31" t="n"/>
      <c r="D261" s="31" t="n"/>
      <c r="E261" s="31" t="n"/>
    </row>
    <row r="262">
      <c r="A262" s="31" t="n"/>
      <c r="B262" s="31" t="n"/>
      <c r="C262" s="31" t="n"/>
      <c r="D262" s="31" t="n"/>
      <c r="E262" s="31" t="n"/>
    </row>
    <row r="263">
      <c r="A263" s="31" t="n"/>
      <c r="B263" s="31" t="n"/>
      <c r="C263" s="31" t="n"/>
      <c r="D263" s="31" t="n"/>
      <c r="E263" s="31" t="n"/>
    </row>
    <row r="264">
      <c r="A264" s="31" t="n"/>
      <c r="B264" s="31" t="n"/>
      <c r="C264" s="31" t="n"/>
      <c r="D264" s="31" t="n"/>
      <c r="E264" s="31" t="n"/>
    </row>
    <row r="265">
      <c r="A265" s="31" t="n"/>
      <c r="B265" s="31" t="n"/>
      <c r="C265" s="31" t="n"/>
      <c r="D265" s="31" t="n"/>
      <c r="E265" s="31" t="n"/>
    </row>
    <row r="266">
      <c r="A266" s="31" t="n"/>
      <c r="B266" s="31" t="n"/>
      <c r="C266" s="31" t="n"/>
      <c r="D266" s="31" t="n"/>
      <c r="E266" s="31" t="n"/>
    </row>
    <row r="267">
      <c r="A267" s="31" t="n"/>
      <c r="B267" s="31" t="n"/>
      <c r="C267" s="31" t="n"/>
      <c r="D267" s="31" t="n"/>
      <c r="E267" s="31" t="n"/>
    </row>
    <row r="268">
      <c r="A268" s="31" t="n"/>
      <c r="B268" s="31" t="n"/>
      <c r="C268" s="31" t="n"/>
      <c r="D268" s="31" t="n"/>
      <c r="E268" s="31" t="n"/>
    </row>
    <row r="269">
      <c r="A269" s="31" t="n"/>
      <c r="B269" s="31" t="n"/>
      <c r="C269" s="31" t="n"/>
      <c r="D269" s="31" t="n"/>
      <c r="E269" s="31" t="n"/>
    </row>
    <row r="270">
      <c r="A270" s="31" t="n"/>
      <c r="B270" s="31" t="n"/>
      <c r="C270" s="31" t="n"/>
      <c r="D270" s="31" t="n"/>
      <c r="E270" s="31" t="n"/>
    </row>
    <row r="271">
      <c r="A271" s="31" t="n"/>
      <c r="B271" s="31" t="n"/>
      <c r="C271" s="31" t="n"/>
      <c r="D271" s="31" t="n"/>
      <c r="E271" s="31" t="n"/>
    </row>
    <row r="272">
      <c r="A272" s="31" t="n"/>
      <c r="B272" s="31" t="n"/>
      <c r="C272" s="31" t="n"/>
      <c r="D272" s="31" t="n"/>
      <c r="E272" s="31" t="n"/>
    </row>
    <row r="273">
      <c r="A273" s="31" t="n"/>
      <c r="B273" s="31" t="n"/>
      <c r="C273" s="31" t="n"/>
      <c r="D273" s="31" t="n"/>
      <c r="E273" s="31" t="n"/>
    </row>
    <row r="274">
      <c r="A274" s="31" t="n"/>
      <c r="B274" s="31" t="n"/>
      <c r="C274" s="31" t="n"/>
      <c r="D274" s="31" t="n"/>
      <c r="E274" s="31" t="n"/>
    </row>
    <row r="275">
      <c r="A275" s="31" t="n"/>
      <c r="B275" s="31" t="n"/>
      <c r="C275" s="31" t="n"/>
      <c r="D275" s="31" t="n"/>
      <c r="E275" s="31" t="n"/>
    </row>
    <row r="276">
      <c r="A276" s="31" t="n"/>
      <c r="B276" s="31" t="n"/>
      <c r="C276" s="31" t="n"/>
      <c r="D276" s="31" t="n"/>
      <c r="E276" s="31" t="n"/>
    </row>
    <row r="277">
      <c r="A277" s="31" t="n"/>
      <c r="B277" s="31" t="n"/>
      <c r="C277" s="31" t="n"/>
      <c r="D277" s="31" t="n"/>
      <c r="E277" s="31" t="n"/>
    </row>
    <row r="278">
      <c r="A278" s="31" t="n"/>
      <c r="B278" s="31" t="n"/>
      <c r="C278" s="31" t="n"/>
      <c r="D278" s="31" t="n"/>
      <c r="E278" s="31" t="n"/>
    </row>
    <row r="279">
      <c r="A279" s="31" t="n"/>
      <c r="B279" s="31" t="n"/>
      <c r="C279" s="31" t="n"/>
      <c r="D279" s="31" t="n"/>
      <c r="E279" s="31" t="n"/>
    </row>
    <row r="280">
      <c r="A280" s="31" t="n"/>
      <c r="B280" s="31" t="n"/>
      <c r="C280" s="31" t="n"/>
      <c r="D280" s="31" t="n"/>
      <c r="E280" s="31" t="n"/>
    </row>
    <row r="281">
      <c r="A281" s="31" t="n"/>
      <c r="B281" s="31" t="n"/>
      <c r="C281" s="31" t="n"/>
      <c r="D281" s="31" t="n"/>
      <c r="E281" s="31" t="n"/>
    </row>
    <row r="282">
      <c r="A282" s="31" t="n"/>
      <c r="B282" s="31" t="n"/>
      <c r="C282" s="31" t="n"/>
      <c r="D282" s="31" t="n"/>
      <c r="E282" s="31" t="n"/>
    </row>
    <row r="283">
      <c r="A283" s="31" t="n"/>
      <c r="B283" s="31" t="n"/>
      <c r="C283" s="31" t="n"/>
      <c r="D283" s="31" t="n"/>
      <c r="E283" s="31" t="n"/>
    </row>
    <row r="284">
      <c r="A284" s="31" t="n"/>
      <c r="B284" s="31" t="n"/>
      <c r="C284" s="31" t="n"/>
      <c r="D284" s="31" t="n"/>
      <c r="E284" s="31" t="n"/>
    </row>
    <row r="285">
      <c r="A285" s="31" t="n"/>
      <c r="B285" s="31" t="n"/>
      <c r="C285" s="31" t="n"/>
      <c r="D285" s="31" t="n"/>
      <c r="E285" s="31" t="n"/>
    </row>
    <row r="286">
      <c r="A286" s="31" t="n"/>
      <c r="B286" s="31" t="n"/>
      <c r="C286" s="31" t="n"/>
      <c r="D286" s="31" t="n"/>
      <c r="E286" s="31" t="n"/>
    </row>
    <row r="287">
      <c r="A287" s="31" t="n"/>
      <c r="B287" s="31" t="n"/>
      <c r="C287" s="31" t="n"/>
      <c r="D287" s="31" t="n"/>
      <c r="E287" s="31" t="n"/>
    </row>
    <row r="288">
      <c r="A288" s="31" t="n"/>
      <c r="B288" s="31" t="n"/>
      <c r="C288" s="31" t="n"/>
      <c r="D288" s="31" t="n"/>
      <c r="E288" s="31" t="n"/>
    </row>
    <row r="289">
      <c r="A289" s="31" t="n"/>
      <c r="B289" s="31" t="n"/>
      <c r="C289" s="31" t="n"/>
      <c r="D289" s="31" t="n"/>
      <c r="E289" s="31" t="n"/>
    </row>
    <row r="290">
      <c r="A290" s="31" t="n"/>
      <c r="B290" s="31" t="n"/>
      <c r="C290" s="31" t="n"/>
      <c r="D290" s="31" t="n"/>
      <c r="E290" s="31" t="n"/>
    </row>
    <row r="291">
      <c r="A291" s="31" t="n"/>
      <c r="B291" s="31" t="n"/>
      <c r="C291" s="31" t="n"/>
      <c r="D291" s="31" t="n"/>
      <c r="E291" s="31" t="n"/>
    </row>
    <row r="292">
      <c r="A292" s="31" t="n"/>
      <c r="B292" s="31" t="n"/>
      <c r="C292" s="31" t="n"/>
      <c r="D292" s="31" t="n"/>
      <c r="E292" s="31" t="n"/>
    </row>
    <row r="293">
      <c r="A293" s="31" t="n"/>
      <c r="B293" s="31" t="n"/>
      <c r="C293" s="31" t="n"/>
      <c r="D293" s="31" t="n"/>
      <c r="E293" s="31" t="n"/>
    </row>
    <row r="294">
      <c r="A294" s="31" t="n"/>
      <c r="B294" s="31" t="n"/>
      <c r="C294" s="31" t="n"/>
      <c r="D294" s="31" t="n"/>
      <c r="E294" s="31" t="n"/>
    </row>
    <row r="295">
      <c r="A295" s="31" t="n"/>
      <c r="B295" s="31" t="n"/>
      <c r="C295" s="31" t="n"/>
      <c r="D295" s="31" t="n"/>
      <c r="E295" s="31" t="n"/>
    </row>
    <row r="296">
      <c r="A296" s="31" t="n"/>
      <c r="B296" s="31" t="n"/>
      <c r="C296" s="31" t="n"/>
      <c r="D296" s="31" t="n"/>
      <c r="E296" s="31" t="n"/>
    </row>
    <row r="297">
      <c r="A297" s="31" t="n"/>
      <c r="B297" s="31" t="n"/>
      <c r="C297" s="31" t="n"/>
      <c r="D297" s="31" t="n"/>
      <c r="E297" s="31" t="n"/>
    </row>
    <row r="298">
      <c r="A298" s="31" t="n"/>
      <c r="B298" s="31" t="n"/>
      <c r="C298" s="31" t="n"/>
      <c r="D298" s="31" t="n"/>
      <c r="E298" s="31" t="n"/>
    </row>
    <row r="299">
      <c r="A299" s="31" t="n"/>
      <c r="B299" s="31" t="n"/>
      <c r="C299" s="31" t="n"/>
      <c r="D299" s="31" t="n"/>
      <c r="E299" s="31" t="n"/>
    </row>
    <row r="300">
      <c r="A300" s="31" t="n"/>
      <c r="B300" s="31" t="n"/>
      <c r="C300" s="31" t="n"/>
      <c r="D300" s="31" t="n"/>
      <c r="E300" s="31" t="n"/>
    </row>
    <row r="301">
      <c r="A301" s="31" t="n"/>
      <c r="B301" s="31" t="n"/>
      <c r="C301" s="31" t="n"/>
      <c r="D301" s="31" t="n"/>
      <c r="E301" s="31" t="n"/>
    </row>
    <row r="302">
      <c r="A302" s="31" t="n"/>
      <c r="B302" s="31" t="n"/>
      <c r="C302" s="31" t="n"/>
      <c r="D302" s="31" t="n"/>
      <c r="E302" s="31" t="n"/>
    </row>
    <row r="303">
      <c r="A303" s="31" t="n"/>
      <c r="B303" s="31" t="n"/>
      <c r="C303" s="31" t="n"/>
      <c r="D303" s="31" t="n"/>
      <c r="E303" s="31" t="n"/>
    </row>
    <row r="304">
      <c r="A304" s="31" t="n"/>
      <c r="B304" s="31" t="n"/>
      <c r="C304" s="31" t="n"/>
      <c r="D304" s="31" t="n"/>
      <c r="E304" s="31" t="n"/>
    </row>
    <row r="305">
      <c r="A305" s="31" t="n"/>
      <c r="B305" s="31" t="n"/>
      <c r="C305" s="31" t="n"/>
      <c r="D305" s="31" t="n"/>
      <c r="E305" s="31" t="n"/>
    </row>
    <row r="306">
      <c r="A306" s="31" t="n"/>
      <c r="B306" s="31" t="n"/>
      <c r="C306" s="31" t="n"/>
      <c r="D306" s="31" t="n"/>
      <c r="E306" s="31" t="n"/>
    </row>
    <row r="307">
      <c r="A307" s="31" t="n"/>
      <c r="B307" s="31" t="n"/>
      <c r="C307" s="31" t="n"/>
      <c r="D307" s="31" t="n"/>
      <c r="E307" s="31" t="n"/>
    </row>
    <row r="308">
      <c r="A308" s="31" t="n"/>
      <c r="B308" s="31" t="n"/>
      <c r="C308" s="31" t="n"/>
      <c r="D308" s="31" t="n"/>
      <c r="E308" s="31" t="n"/>
    </row>
    <row r="309">
      <c r="A309" s="31" t="n"/>
      <c r="B309" s="31" t="n"/>
      <c r="C309" s="31" t="n"/>
      <c r="D309" s="31" t="n"/>
      <c r="E309" s="31" t="n"/>
    </row>
    <row r="310">
      <c r="A310" s="31" t="n"/>
      <c r="B310" s="31" t="n"/>
      <c r="C310" s="31" t="n"/>
      <c r="D310" s="31" t="n"/>
      <c r="E310" s="31" t="n"/>
    </row>
    <row r="311">
      <c r="A311" s="31" t="n"/>
      <c r="B311" s="31" t="n"/>
      <c r="C311" s="31" t="n"/>
      <c r="D311" s="31" t="n"/>
      <c r="E311" s="31" t="n"/>
    </row>
    <row r="312">
      <c r="A312" s="31" t="n"/>
      <c r="B312" s="31" t="n"/>
      <c r="C312" s="31" t="n"/>
      <c r="D312" s="31" t="n"/>
      <c r="E312" s="31" t="n"/>
    </row>
    <row r="313">
      <c r="A313" s="31" t="n"/>
      <c r="B313" s="31" t="n"/>
      <c r="C313" s="31" t="n"/>
      <c r="D313" s="31" t="n"/>
      <c r="E313" s="31" t="n"/>
    </row>
    <row r="314">
      <c r="A314" s="31" t="n"/>
      <c r="B314" s="31" t="n"/>
      <c r="C314" s="31" t="n"/>
      <c r="D314" s="31" t="n"/>
      <c r="E314" s="31" t="n"/>
    </row>
    <row r="315">
      <c r="A315" s="31" t="n"/>
      <c r="B315" s="31" t="n"/>
      <c r="C315" s="31" t="n"/>
      <c r="D315" s="31" t="n"/>
      <c r="E315" s="31" t="n"/>
    </row>
    <row r="316">
      <c r="A316" s="31" t="n"/>
      <c r="B316" s="31" t="n"/>
      <c r="C316" s="31" t="n"/>
      <c r="D316" s="31" t="n"/>
      <c r="E316" s="31" t="n"/>
    </row>
    <row r="317">
      <c r="A317" s="31" t="n"/>
      <c r="B317" s="31" t="n"/>
      <c r="C317" s="31" t="n"/>
      <c r="D317" s="31" t="n"/>
      <c r="E317" s="31" t="n"/>
    </row>
    <row r="318">
      <c r="A318" s="31" t="n"/>
      <c r="B318" s="31" t="n"/>
      <c r="C318" s="31" t="n"/>
      <c r="D318" s="31" t="n"/>
      <c r="E318" s="31" t="n"/>
    </row>
    <row r="319">
      <c r="A319" s="31" t="n"/>
      <c r="B319" s="31" t="n"/>
      <c r="C319" s="31" t="n"/>
      <c r="D319" s="31" t="n"/>
      <c r="E319" s="31" t="n"/>
    </row>
    <row r="320">
      <c r="A320" s="31" t="n"/>
      <c r="B320" s="31" t="n"/>
      <c r="C320" s="31" t="n"/>
      <c r="D320" s="31" t="n"/>
      <c r="E320" s="31" t="n"/>
    </row>
    <row r="321">
      <c r="A321" s="31" t="n"/>
      <c r="B321" s="31" t="n"/>
      <c r="C321" s="31" t="n"/>
      <c r="D321" s="31" t="n"/>
      <c r="E321" s="31" t="n"/>
    </row>
    <row r="322">
      <c r="A322" s="31" t="n"/>
      <c r="B322" s="31" t="n"/>
      <c r="C322" s="31" t="n"/>
      <c r="D322" s="31" t="n"/>
      <c r="E322" s="31" t="n"/>
    </row>
    <row r="323">
      <c r="A323" s="31" t="n"/>
      <c r="B323" s="31" t="n"/>
      <c r="C323" s="31" t="n"/>
      <c r="D323" s="31" t="n"/>
      <c r="E323" s="31" t="n"/>
    </row>
    <row r="324">
      <c r="A324" s="31" t="n"/>
      <c r="B324" s="31" t="n"/>
      <c r="C324" s="31" t="n"/>
      <c r="D324" s="31" t="n"/>
      <c r="E324" s="31" t="n"/>
    </row>
    <row r="325">
      <c r="A325" s="31" t="n"/>
      <c r="B325" s="31" t="n"/>
      <c r="C325" s="31" t="n"/>
      <c r="D325" s="31" t="n"/>
      <c r="E325" s="31" t="n"/>
    </row>
    <row r="326">
      <c r="A326" s="31" t="n"/>
      <c r="B326" s="31" t="n"/>
      <c r="C326" s="31" t="n"/>
      <c r="D326" s="31" t="n"/>
      <c r="E326" s="31" t="n"/>
    </row>
    <row r="327">
      <c r="A327" s="31" t="n"/>
      <c r="B327" s="31" t="n"/>
      <c r="C327" s="31" t="n"/>
      <c r="D327" s="31" t="n"/>
      <c r="E327" s="31" t="n"/>
    </row>
    <row r="328">
      <c r="A328" s="31" t="n"/>
      <c r="B328" s="31" t="n"/>
      <c r="C328" s="31" t="n"/>
      <c r="D328" s="31" t="n"/>
      <c r="E328" s="31" t="n"/>
    </row>
    <row r="329">
      <c r="A329" s="31" t="n"/>
      <c r="B329" s="31" t="n"/>
      <c r="C329" s="31" t="n"/>
      <c r="D329" s="31" t="n"/>
      <c r="E329" s="31" t="n"/>
    </row>
    <row r="330">
      <c r="A330" s="31" t="n"/>
      <c r="B330" s="31" t="n"/>
      <c r="C330" s="31" t="n"/>
      <c r="D330" s="31" t="n"/>
      <c r="E330" s="31" t="n"/>
    </row>
    <row r="331">
      <c r="A331" s="31" t="n"/>
      <c r="B331" s="31" t="n"/>
      <c r="C331" s="31" t="n"/>
      <c r="D331" s="31" t="n"/>
      <c r="E331" s="31" t="n"/>
    </row>
    <row r="332">
      <c r="A332" s="31" t="n"/>
      <c r="B332" s="31" t="n"/>
      <c r="C332" s="31" t="n"/>
      <c r="D332" s="31" t="n"/>
      <c r="E332" s="31" t="n"/>
    </row>
    <row r="333">
      <c r="A333" s="31" t="n"/>
      <c r="B333" s="31" t="n"/>
      <c r="C333" s="31" t="n"/>
      <c r="D333" s="31" t="n"/>
      <c r="E333" s="31" t="n"/>
    </row>
    <row r="334">
      <c r="A334" s="31" t="n"/>
      <c r="B334" s="31" t="n"/>
      <c r="C334" s="31" t="n"/>
      <c r="D334" s="31" t="n"/>
      <c r="E334" s="31" t="n"/>
    </row>
    <row r="335">
      <c r="A335" s="31" t="n"/>
      <c r="B335" s="31" t="n"/>
      <c r="C335" s="31" t="n"/>
      <c r="D335" s="31" t="n"/>
      <c r="E335" s="31" t="n"/>
    </row>
    <row r="336">
      <c r="A336" s="31" t="n"/>
      <c r="B336" s="31" t="n"/>
      <c r="C336" s="31" t="n"/>
      <c r="D336" s="31" t="n"/>
      <c r="E336" s="31" t="n"/>
    </row>
    <row r="337">
      <c r="A337" s="31" t="n"/>
      <c r="B337" s="31" t="n"/>
      <c r="C337" s="31" t="n"/>
      <c r="D337" s="31" t="n"/>
      <c r="E337" s="31" t="n"/>
    </row>
    <row r="338">
      <c r="A338" s="31" t="n"/>
      <c r="B338" s="31" t="n"/>
      <c r="C338" s="31" t="n"/>
      <c r="D338" s="31" t="n"/>
      <c r="E338" s="31" t="n"/>
    </row>
    <row r="339">
      <c r="A339" s="31" t="n"/>
      <c r="B339" s="31" t="n"/>
      <c r="C339" s="31" t="n"/>
      <c r="D339" s="31" t="n"/>
      <c r="E339" s="31" t="n"/>
    </row>
    <row r="340">
      <c r="A340" s="31" t="n"/>
      <c r="B340" s="31" t="n"/>
      <c r="C340" s="31" t="n"/>
      <c r="D340" s="31" t="n"/>
      <c r="E340" s="31" t="n"/>
    </row>
    <row r="341">
      <c r="A341" s="31" t="n"/>
      <c r="B341" s="31" t="n"/>
      <c r="C341" s="31" t="n"/>
      <c r="D341" s="31" t="n"/>
      <c r="E341" s="31" t="n"/>
    </row>
    <row r="342">
      <c r="A342" s="31" t="n"/>
      <c r="B342" s="31" t="n"/>
      <c r="C342" s="31" t="n"/>
      <c r="D342" s="31" t="n"/>
      <c r="E342" s="31" t="n"/>
    </row>
    <row r="343">
      <c r="A343" s="31" t="n"/>
      <c r="B343" s="31" t="n"/>
      <c r="C343" s="31" t="n"/>
      <c r="D343" s="31" t="n"/>
      <c r="E343" s="31" t="n"/>
    </row>
    <row r="344">
      <c r="A344" s="31" t="n"/>
      <c r="B344" s="31" t="n"/>
      <c r="C344" s="31" t="n"/>
      <c r="D344" s="31" t="n"/>
      <c r="E344" s="31" t="n"/>
    </row>
    <row r="345">
      <c r="A345" s="31" t="n"/>
      <c r="B345" s="31" t="n"/>
      <c r="C345" s="31" t="n"/>
      <c r="D345" s="31" t="n"/>
      <c r="E345" s="31" t="n"/>
    </row>
    <row r="346">
      <c r="A346" s="31" t="n"/>
      <c r="B346" s="31" t="n"/>
      <c r="C346" s="31" t="n"/>
      <c r="D346" s="31" t="n"/>
      <c r="E346" s="31" t="n"/>
    </row>
    <row r="347">
      <c r="A347" s="31" t="n"/>
      <c r="B347" s="31" t="n"/>
      <c r="C347" s="31" t="n"/>
      <c r="D347" s="31" t="n"/>
      <c r="E347" s="31" t="n"/>
    </row>
    <row r="348">
      <c r="A348" s="31" t="n"/>
      <c r="B348" s="31" t="n"/>
      <c r="C348" s="31" t="n"/>
      <c r="D348" s="31" t="n"/>
      <c r="E348" s="31" t="n"/>
    </row>
    <row r="349">
      <c r="A349" s="31" t="n"/>
      <c r="B349" s="31" t="n"/>
      <c r="C349" s="31" t="n"/>
      <c r="D349" s="31" t="n"/>
      <c r="E349" s="31" t="n"/>
    </row>
    <row r="350">
      <c r="A350" s="31" t="n"/>
      <c r="B350" s="31" t="n"/>
      <c r="C350" s="31" t="n"/>
      <c r="D350" s="31" t="n"/>
      <c r="E350" s="31" t="n"/>
    </row>
    <row r="351">
      <c r="A351" s="31" t="n"/>
      <c r="B351" s="31" t="n"/>
      <c r="C351" s="31" t="n"/>
      <c r="D351" s="31" t="n"/>
      <c r="E351" s="31" t="n"/>
    </row>
    <row r="352">
      <c r="A352" s="31" t="n"/>
      <c r="B352" s="31" t="n"/>
      <c r="C352" s="31" t="n"/>
      <c r="D352" s="31" t="n"/>
      <c r="E352" s="31" t="n"/>
    </row>
    <row r="353">
      <c r="A353" s="31" t="n"/>
      <c r="B353" s="31" t="n"/>
      <c r="C353" s="31" t="n"/>
      <c r="D353" s="31" t="n"/>
      <c r="E353" s="31" t="n"/>
    </row>
    <row r="354">
      <c r="A354" s="31" t="n"/>
      <c r="B354" s="31" t="n"/>
      <c r="C354" s="31" t="n"/>
      <c r="D354" s="31" t="n"/>
      <c r="E354" s="31" t="n"/>
    </row>
    <row r="355">
      <c r="A355" s="31" t="n"/>
      <c r="B355" s="31" t="n"/>
      <c r="C355" s="31" t="n"/>
      <c r="D355" s="31" t="n"/>
      <c r="E355" s="31" t="n"/>
    </row>
    <row r="356">
      <c r="A356" s="31" t="n"/>
      <c r="B356" s="31" t="n"/>
      <c r="C356" s="31" t="n"/>
      <c r="D356" s="31" t="n"/>
      <c r="E356" s="31" t="n"/>
    </row>
    <row r="357">
      <c r="A357" s="31" t="n"/>
      <c r="B357" s="31" t="n"/>
      <c r="C357" s="31" t="n"/>
      <c r="D357" s="31" t="n"/>
      <c r="E357" s="31" t="n"/>
    </row>
    <row r="358">
      <c r="A358" s="31" t="n"/>
      <c r="B358" s="31" t="n"/>
      <c r="C358" s="31" t="n"/>
      <c r="D358" s="31" t="n"/>
      <c r="E358" s="31" t="n"/>
    </row>
    <row r="359">
      <c r="A359" s="31" t="n"/>
      <c r="B359" s="31" t="n"/>
      <c r="C359" s="31" t="n"/>
      <c r="D359" s="31" t="n"/>
      <c r="E359" s="31" t="n"/>
    </row>
    <row r="360">
      <c r="A360" s="31" t="n"/>
      <c r="B360" s="31" t="n"/>
      <c r="C360" s="31" t="n"/>
      <c r="D360" s="31" t="n"/>
      <c r="E360" s="31" t="n"/>
    </row>
    <row r="361">
      <c r="A361" s="31" t="n"/>
      <c r="B361" s="31" t="n"/>
      <c r="C361" s="31" t="n"/>
      <c r="D361" s="31" t="n"/>
      <c r="E361" s="31" t="n"/>
    </row>
    <row r="362">
      <c r="A362" s="31" t="n"/>
      <c r="B362" s="31" t="n"/>
      <c r="C362" s="31" t="n"/>
      <c r="D362" s="31" t="n"/>
      <c r="E362" s="31" t="n"/>
    </row>
    <row r="363">
      <c r="A363" s="31" t="n"/>
      <c r="B363" s="31" t="n"/>
      <c r="C363" s="31" t="n"/>
      <c r="D363" s="31" t="n"/>
      <c r="E363" s="31" t="n"/>
    </row>
    <row r="364">
      <c r="A364" s="31" t="n"/>
      <c r="B364" s="31" t="n"/>
      <c r="C364" s="31" t="n"/>
      <c r="D364" s="31" t="n"/>
      <c r="E364" s="31" t="n"/>
    </row>
    <row r="365">
      <c r="A365" s="31" t="n"/>
      <c r="B365" s="31" t="n"/>
      <c r="C365" s="31" t="n"/>
      <c r="D365" s="31" t="n"/>
      <c r="E365" s="31" t="n"/>
    </row>
    <row r="366">
      <c r="A366" s="31" t="n"/>
      <c r="B366" s="31" t="n"/>
      <c r="C366" s="31" t="n"/>
      <c r="D366" s="31" t="n"/>
      <c r="E366" s="31" t="n"/>
    </row>
    <row r="367">
      <c r="A367" s="31" t="n"/>
      <c r="B367" s="31" t="n"/>
      <c r="C367" s="31" t="n"/>
      <c r="D367" s="31" t="n"/>
      <c r="E367" s="31" t="n"/>
    </row>
    <row r="368">
      <c r="A368" s="31" t="n"/>
      <c r="B368" s="31" t="n"/>
      <c r="C368" s="31" t="n"/>
      <c r="D368" s="31" t="n"/>
      <c r="E368" s="31" t="n"/>
    </row>
    <row r="369">
      <c r="A369" s="31" t="n"/>
      <c r="B369" s="31" t="n"/>
      <c r="C369" s="31" t="n"/>
      <c r="D369" s="31" t="n"/>
      <c r="E369" s="31" t="n"/>
    </row>
    <row r="370">
      <c r="A370" s="31" t="n"/>
      <c r="B370" s="31" t="n"/>
      <c r="C370" s="31" t="n"/>
      <c r="D370" s="31" t="n"/>
      <c r="E370" s="31" t="n"/>
    </row>
    <row r="371">
      <c r="A371" s="31" t="n"/>
      <c r="B371" s="31" t="n"/>
      <c r="C371" s="31" t="n"/>
      <c r="D371" s="31" t="n"/>
      <c r="E371" s="31" t="n"/>
    </row>
    <row r="372">
      <c r="A372" s="31" t="n"/>
      <c r="B372" s="31" t="n"/>
      <c r="C372" s="31" t="n"/>
      <c r="D372" s="31" t="n"/>
      <c r="E372" s="31" t="n"/>
    </row>
    <row r="373">
      <c r="A373" s="31" t="n"/>
      <c r="B373" s="31" t="n"/>
      <c r="C373" s="31" t="n"/>
      <c r="D373" s="31" t="n"/>
      <c r="E373" s="31" t="n"/>
    </row>
    <row r="374">
      <c r="A374" s="31" t="n"/>
      <c r="B374" s="31" t="n"/>
      <c r="C374" s="31" t="n"/>
      <c r="D374" s="31" t="n"/>
      <c r="E374" s="31" t="n"/>
    </row>
    <row r="375">
      <c r="A375" s="31" t="n"/>
      <c r="B375" s="31" t="n"/>
      <c r="C375" s="31" t="n"/>
      <c r="D375" s="31" t="n"/>
      <c r="E375" s="31" t="n"/>
    </row>
    <row r="376">
      <c r="A376" s="31" t="n"/>
      <c r="B376" s="31" t="n"/>
      <c r="C376" s="31" t="n"/>
      <c r="D376" s="31" t="n"/>
      <c r="E376" s="31" t="n"/>
    </row>
    <row r="377">
      <c r="A377" s="31" t="n"/>
      <c r="B377" s="31" t="n"/>
      <c r="C377" s="31" t="n"/>
      <c r="D377" s="31" t="n"/>
      <c r="E377" s="31" t="n"/>
    </row>
    <row r="378">
      <c r="A378" s="31" t="n"/>
      <c r="B378" s="31" t="n"/>
      <c r="C378" s="31" t="n"/>
      <c r="D378" s="31" t="n"/>
      <c r="E378" s="31" t="n"/>
    </row>
    <row r="379">
      <c r="A379" s="31" t="n"/>
      <c r="B379" s="31" t="n"/>
      <c r="C379" s="31" t="n"/>
      <c r="D379" s="31" t="n"/>
      <c r="E379" s="31" t="n"/>
    </row>
    <row r="380">
      <c r="A380" s="31" t="n"/>
      <c r="B380" s="31" t="n"/>
      <c r="C380" s="31" t="n"/>
      <c r="D380" s="31" t="n"/>
      <c r="E380" s="31" t="n"/>
    </row>
    <row r="381">
      <c r="A381" s="31" t="n"/>
      <c r="B381" s="31" t="n"/>
      <c r="C381" s="31" t="n"/>
      <c r="D381" s="31" t="n"/>
      <c r="E381" s="31" t="n"/>
    </row>
    <row r="382">
      <c r="A382" s="31" t="n"/>
      <c r="B382" s="31" t="n"/>
      <c r="C382" s="31" t="n"/>
      <c r="D382" s="31" t="n"/>
      <c r="E382" s="31" t="n"/>
    </row>
    <row r="383">
      <c r="A383" s="31" t="n"/>
      <c r="B383" s="31" t="n"/>
      <c r="C383" s="31" t="n"/>
      <c r="D383" s="31" t="n"/>
      <c r="E383" s="31" t="n"/>
    </row>
    <row r="384">
      <c r="A384" s="31" t="n"/>
      <c r="B384" s="31" t="n"/>
      <c r="C384" s="31" t="n"/>
      <c r="D384" s="31" t="n"/>
      <c r="E384" s="31" t="n"/>
    </row>
    <row r="385">
      <c r="A385" s="31" t="n"/>
      <c r="B385" s="31" t="n"/>
      <c r="C385" s="31" t="n"/>
      <c r="D385" s="31" t="n"/>
      <c r="E385" s="31" t="n"/>
    </row>
    <row r="386">
      <c r="A386" s="31" t="n"/>
      <c r="B386" s="31" t="n"/>
      <c r="C386" s="31" t="n"/>
      <c r="D386" s="31" t="n"/>
      <c r="E386" s="31" t="n"/>
    </row>
    <row r="387">
      <c r="A387" s="31" t="n"/>
      <c r="B387" s="31" t="n"/>
      <c r="C387" s="31" t="n"/>
      <c r="D387" s="31" t="n"/>
      <c r="E387" s="31" t="n"/>
    </row>
    <row r="388">
      <c r="A388" s="31" t="n"/>
      <c r="B388" s="31" t="n"/>
      <c r="C388" s="31" t="n"/>
      <c r="D388" s="31" t="n"/>
      <c r="E388" s="31" t="n"/>
    </row>
    <row r="389">
      <c r="A389" s="31" t="n"/>
      <c r="B389" s="31" t="n"/>
      <c r="C389" s="31" t="n"/>
      <c r="D389" s="31" t="n"/>
      <c r="E389" s="31" t="n"/>
    </row>
    <row r="390">
      <c r="A390" s="31" t="n"/>
      <c r="B390" s="31" t="n"/>
      <c r="C390" s="31" t="n"/>
      <c r="D390" s="31" t="n"/>
      <c r="E390" s="31" t="n"/>
    </row>
    <row r="391">
      <c r="A391" s="31" t="n"/>
      <c r="B391" s="31" t="n"/>
      <c r="C391" s="31" t="n"/>
      <c r="D391" s="31" t="n"/>
      <c r="E391" s="31" t="n"/>
    </row>
    <row r="392">
      <c r="A392" s="31" t="n"/>
      <c r="B392" s="31" t="n"/>
      <c r="C392" s="31" t="n"/>
      <c r="D392" s="31" t="n"/>
      <c r="E392" s="31" t="n"/>
    </row>
    <row r="393">
      <c r="A393" s="31" t="n"/>
      <c r="B393" s="31" t="n"/>
      <c r="C393" s="31" t="n"/>
      <c r="D393" s="31" t="n"/>
      <c r="E393" s="31" t="n"/>
    </row>
    <row r="394">
      <c r="A394" s="31" t="n"/>
      <c r="B394" s="31" t="n"/>
      <c r="C394" s="31" t="n"/>
      <c r="D394" s="31" t="n"/>
      <c r="E394" s="31" t="n"/>
    </row>
    <row r="395">
      <c r="A395" s="31" t="n"/>
      <c r="B395" s="31" t="n"/>
      <c r="C395" s="31" t="n"/>
      <c r="D395" s="31" t="n"/>
      <c r="E395" s="31" t="n"/>
    </row>
    <row r="396">
      <c r="A396" s="31" t="n"/>
      <c r="B396" s="31" t="n"/>
      <c r="C396" s="31" t="n"/>
      <c r="D396" s="31" t="n"/>
      <c r="E396" s="31" t="n"/>
    </row>
    <row r="397">
      <c r="A397" s="31" t="n"/>
      <c r="B397" s="31" t="n"/>
      <c r="C397" s="31" t="n"/>
      <c r="D397" s="31" t="n"/>
      <c r="E397" s="31" t="n"/>
    </row>
    <row r="398">
      <c r="A398" s="31" t="n"/>
      <c r="B398" s="31" t="n"/>
      <c r="C398" s="31" t="n"/>
      <c r="D398" s="31" t="n"/>
      <c r="E398" s="31" t="n"/>
    </row>
    <row r="399">
      <c r="A399" s="31" t="n"/>
      <c r="B399" s="31" t="n"/>
      <c r="C399" s="31" t="n"/>
      <c r="D399" s="31" t="n"/>
      <c r="E399" s="31" t="n"/>
    </row>
  </sheetData>
  <dataValidations count="1">
    <dataValidation sqref="C2:C399" showDropDown="0" showInputMessage="0" showErrorMessage="0" allowBlank="1" type="list">
      <formula1>Lists!$H$2:$H$6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9"/>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6" customWidth="1" min="3" max="3"/>
    <col width="12" customWidth="1" min="4" max="4"/>
    <col width="12" customWidth="1" min="5" max="5"/>
    <col width="40" customWidth="1" min="6" max="6"/>
    <col width="40" customWidth="1" min="7" max="7"/>
  </cols>
  <sheetData>
    <row r="1">
      <c r="A1" s="29" t="inlineStr">
        <is>
          <t>Stone ID</t>
        </is>
      </c>
      <c r="B1" s="29" t="inlineStr">
        <is>
          <t>Level</t>
        </is>
      </c>
      <c r="C1" s="29" t="inlineStr">
        <is>
          <t>File name in Drive folder</t>
        </is>
      </c>
      <c r="D1" s="29" t="inlineStr">
        <is>
          <t>Hotspot left %</t>
        </is>
      </c>
      <c r="E1" s="29" t="inlineStr">
        <is>
          <t>Hotspot top %</t>
        </is>
      </c>
      <c r="F1" s="29" t="inlineStr">
        <is>
          <t>Alt text</t>
        </is>
      </c>
      <c r="G1" s="29" t="inlineStr">
        <is>
          <t>Notes</t>
        </is>
      </c>
    </row>
    <row r="2">
      <c r="A2" s="30" t="inlineStr">
        <is>
          <t>001</t>
        </is>
      </c>
      <c r="B2" s="31" t="inlineStr">
        <is>
          <t>1 - Full view</t>
        </is>
      </c>
      <c r="C2" s="31" t="inlineStr">
        <is>
          <t>001/level-1-default.png</t>
        </is>
      </c>
      <c r="D2" s="31" t="n">
        <v>50</v>
      </c>
      <c r="E2" s="31" t="n">
        <v>30</v>
      </c>
      <c r="F2" s="31" t="inlineStr">
        <is>
          <t>Diamond, full view</t>
        </is>
      </c>
      <c r="G2" s="31" t="inlineStr"/>
    </row>
    <row r="3">
      <c r="A3" s="30" t="inlineStr">
        <is>
          <t>001</t>
        </is>
      </c>
      <c r="B3" s="31" t="inlineStr">
        <is>
          <t>2 - Girdle close-up</t>
        </is>
      </c>
      <c r="C3" s="31" t="inlineStr">
        <is>
          <t>001/level-2-close.png</t>
        </is>
      </c>
      <c r="D3" s="31" t="n">
        <v>50</v>
      </c>
      <c r="E3" s="31" t="n">
        <v>75</v>
      </c>
      <c r="F3" s="31" t="inlineStr">
        <is>
          <t>Diamond, closer view of the girdle</t>
        </is>
      </c>
      <c r="G3" s="31" t="inlineStr"/>
    </row>
    <row r="4">
      <c r="A4" s="30" t="inlineStr">
        <is>
          <t>001</t>
        </is>
      </c>
      <c r="B4" s="31" t="inlineStr">
        <is>
          <t>3 - Inscription</t>
        </is>
      </c>
      <c r="C4" s="31" t="inlineStr">
        <is>
          <t>001/level-3-inscription.png</t>
        </is>
      </c>
      <c r="D4" s="31" t="n"/>
      <c r="E4" s="31" t="n"/>
      <c r="F4" s="31" t="inlineStr">
        <is>
          <t>Diamond, closest view of the laser inscription</t>
        </is>
      </c>
      <c r="G4" s="31" t="inlineStr">
        <is>
          <t>Current file is upscaled and blurry — needs hi-res original</t>
        </is>
      </c>
    </row>
    <row r="5">
      <c r="A5" s="30" t="inlineStr">
        <is>
          <t>001</t>
        </is>
      </c>
      <c r="B5" s="31" t="inlineStr">
        <is>
          <t>Thumbnail</t>
        </is>
      </c>
      <c r="C5" s="31" t="inlineStr">
        <is>
          <t>001/thumbnail-wide.jpg</t>
        </is>
      </c>
      <c r="D5" s="31" t="n"/>
      <c r="E5" s="31" t="n"/>
      <c r="F5" s="31" t="inlineStr">
        <is>
          <t>Close-up of the diamond's facets</t>
        </is>
      </c>
      <c r="G5" s="31" t="inlineStr"/>
    </row>
    <row r="6">
      <c r="A6" s="30" t="inlineStr">
        <is>
          <t>002</t>
        </is>
      </c>
      <c r="B6" s="31" t="inlineStr">
        <is>
          <t>1 - Full view</t>
        </is>
      </c>
      <c r="C6" s="31" t="inlineStr">
        <is>
          <t>002/level-1-default.png</t>
        </is>
      </c>
      <c r="D6" s="31" t="n">
        <v>50</v>
      </c>
      <c r="E6" s="31" t="n">
        <v>30</v>
      </c>
      <c r="F6" s="31" t="inlineStr">
        <is>
          <t>Diamond, full view</t>
        </is>
      </c>
      <c r="G6" s="31" t="inlineStr"/>
    </row>
    <row r="7">
      <c r="A7" s="30" t="inlineStr">
        <is>
          <t>002</t>
        </is>
      </c>
      <c r="B7" s="31" t="inlineStr">
        <is>
          <t>2 - Girdle close-up</t>
        </is>
      </c>
      <c r="C7" s="31" t="inlineStr">
        <is>
          <t>002/level-2-close.png</t>
        </is>
      </c>
      <c r="D7" s="31" t="n">
        <v>51</v>
      </c>
      <c r="E7" s="31" t="n">
        <v>58</v>
      </c>
      <c r="F7" s="31" t="inlineStr">
        <is>
          <t>Diamond, closer view of the girdle</t>
        </is>
      </c>
      <c r="G7" s="31" t="inlineStr"/>
    </row>
    <row r="8">
      <c r="A8" s="30" t="inlineStr">
        <is>
          <t>002</t>
        </is>
      </c>
      <c r="B8" s="31" t="inlineStr">
        <is>
          <t>3 - Inscription</t>
        </is>
      </c>
      <c r="C8" s="31" t="inlineStr">
        <is>
          <t>002/level-3-inscription.png</t>
        </is>
      </c>
      <c r="D8" s="31" t="n"/>
      <c r="E8" s="31" t="n"/>
      <c r="F8" s="31" t="inlineStr">
        <is>
          <t>Diamond, closest view of the laser inscription</t>
        </is>
      </c>
      <c r="G8" s="31" t="inlineStr"/>
    </row>
    <row r="9">
      <c r="A9" s="30" t="inlineStr">
        <is>
          <t>002</t>
        </is>
      </c>
      <c r="B9" s="31" t="inlineStr">
        <is>
          <t>Thumbnail</t>
        </is>
      </c>
      <c r="C9" s="31" t="inlineStr">
        <is>
          <t>002/thumbnail-wide.jpg</t>
        </is>
      </c>
      <c r="D9" s="31" t="n"/>
      <c r="E9" s="31" t="n"/>
      <c r="F9" s="31" t="inlineStr">
        <is>
          <t>Close-up of the diamond's facets</t>
        </is>
      </c>
      <c r="G9" s="31" t="inlineStr"/>
    </row>
    <row r="10">
      <c r="A10" s="31" t="n"/>
      <c r="B10" s="31" t="n"/>
      <c r="C10" s="31" t="n"/>
      <c r="D10" s="31" t="n"/>
      <c r="E10" s="31" t="n"/>
      <c r="F10" s="31" t="n"/>
      <c r="G10" s="31" t="n"/>
    </row>
    <row r="11">
      <c r="A11" s="31" t="n"/>
      <c r="B11" s="31" t="n"/>
      <c r="C11" s="31" t="n"/>
      <c r="D11" s="31" t="n"/>
      <c r="E11" s="31" t="n"/>
      <c r="F11" s="31" t="n"/>
      <c r="G11" s="31" t="n"/>
    </row>
    <row r="12">
      <c r="A12" s="31" t="n"/>
      <c r="B12" s="31" t="n"/>
      <c r="C12" s="31" t="n"/>
      <c r="D12" s="31" t="n"/>
      <c r="E12" s="31" t="n"/>
      <c r="F12" s="31" t="n"/>
      <c r="G12" s="31" t="n"/>
    </row>
    <row r="13">
      <c r="A13" s="31" t="n"/>
      <c r="B13" s="31" t="n"/>
      <c r="C13" s="31" t="n"/>
      <c r="D13" s="31" t="n"/>
      <c r="E13" s="31" t="n"/>
      <c r="F13" s="31" t="n"/>
      <c r="G13" s="31" t="n"/>
    </row>
    <row r="14">
      <c r="A14" s="31" t="n"/>
      <c r="B14" s="31" t="n"/>
      <c r="C14" s="31" t="n"/>
      <c r="D14" s="31" t="n"/>
      <c r="E14" s="31" t="n"/>
      <c r="F14" s="31" t="n"/>
      <c r="G14" s="31" t="n"/>
    </row>
    <row r="15">
      <c r="A15" s="31" t="n"/>
      <c r="B15" s="31" t="n"/>
      <c r="C15" s="31" t="n"/>
      <c r="D15" s="31" t="n"/>
      <c r="E15" s="31" t="n"/>
      <c r="F15" s="31" t="n"/>
      <c r="G15" s="31" t="n"/>
    </row>
    <row r="16">
      <c r="A16" s="31" t="n"/>
      <c r="B16" s="31" t="n"/>
      <c r="C16" s="31" t="n"/>
      <c r="D16" s="31" t="n"/>
      <c r="E16" s="31" t="n"/>
      <c r="F16" s="31" t="n"/>
      <c r="G16" s="31" t="n"/>
    </row>
    <row r="17">
      <c r="A17" s="31" t="n"/>
      <c r="B17" s="31" t="n"/>
      <c r="C17" s="31" t="n"/>
      <c r="D17" s="31" t="n"/>
      <c r="E17" s="31" t="n"/>
      <c r="F17" s="31" t="n"/>
      <c r="G17" s="31" t="n"/>
    </row>
    <row r="18">
      <c r="A18" s="31" t="n"/>
      <c r="B18" s="31" t="n"/>
      <c r="C18" s="31" t="n"/>
      <c r="D18" s="31" t="n"/>
      <c r="E18" s="31" t="n"/>
      <c r="F18" s="31" t="n"/>
      <c r="G18" s="31" t="n"/>
    </row>
    <row r="19">
      <c r="A19" s="31" t="n"/>
      <c r="B19" s="31" t="n"/>
      <c r="C19" s="31" t="n"/>
      <c r="D19" s="31" t="n"/>
      <c r="E19" s="31" t="n"/>
      <c r="F19" s="31" t="n"/>
      <c r="G19" s="31" t="n"/>
    </row>
    <row r="20">
      <c r="A20" s="31" t="n"/>
      <c r="B20" s="31" t="n"/>
      <c r="C20" s="31" t="n"/>
      <c r="D20" s="31" t="n"/>
      <c r="E20" s="31" t="n"/>
      <c r="F20" s="31" t="n"/>
      <c r="G20" s="31" t="n"/>
    </row>
    <row r="21">
      <c r="A21" s="31" t="n"/>
      <c r="B21" s="31" t="n"/>
      <c r="C21" s="31" t="n"/>
      <c r="D21" s="31" t="n"/>
      <c r="E21" s="31" t="n"/>
      <c r="F21" s="31" t="n"/>
      <c r="G21" s="31" t="n"/>
    </row>
    <row r="22">
      <c r="A22" s="31" t="n"/>
      <c r="B22" s="31" t="n"/>
      <c r="C22" s="31" t="n"/>
      <c r="D22" s="31" t="n"/>
      <c r="E22" s="31" t="n"/>
      <c r="F22" s="31" t="n"/>
      <c r="G22" s="31" t="n"/>
    </row>
    <row r="23">
      <c r="A23" s="31" t="n"/>
      <c r="B23" s="31" t="n"/>
      <c r="C23" s="31" t="n"/>
      <c r="D23" s="31" t="n"/>
      <c r="E23" s="31" t="n"/>
      <c r="F23" s="31" t="n"/>
      <c r="G23" s="31" t="n"/>
    </row>
    <row r="24">
      <c r="A24" s="31" t="n"/>
      <c r="B24" s="31" t="n"/>
      <c r="C24" s="31" t="n"/>
      <c r="D24" s="31" t="n"/>
      <c r="E24" s="31" t="n"/>
      <c r="F24" s="31" t="n"/>
      <c r="G24" s="31" t="n"/>
    </row>
    <row r="25">
      <c r="A25" s="31" t="n"/>
      <c r="B25" s="31" t="n"/>
      <c r="C25" s="31" t="n"/>
      <c r="D25" s="31" t="n"/>
      <c r="E25" s="31" t="n"/>
      <c r="F25" s="31" t="n"/>
      <c r="G25" s="31" t="n"/>
    </row>
    <row r="26">
      <c r="A26" s="31" t="n"/>
      <c r="B26" s="31" t="n"/>
      <c r="C26" s="31" t="n"/>
      <c r="D26" s="31" t="n"/>
      <c r="E26" s="31" t="n"/>
      <c r="F26" s="31" t="n"/>
      <c r="G26" s="31" t="n"/>
    </row>
    <row r="27">
      <c r="A27" s="31" t="n"/>
      <c r="B27" s="31" t="n"/>
      <c r="C27" s="31" t="n"/>
      <c r="D27" s="31" t="n"/>
      <c r="E27" s="31" t="n"/>
      <c r="F27" s="31" t="n"/>
      <c r="G27" s="31" t="n"/>
    </row>
    <row r="28">
      <c r="A28" s="31" t="n"/>
      <c r="B28" s="31" t="n"/>
      <c r="C28" s="31" t="n"/>
      <c r="D28" s="31" t="n"/>
      <c r="E28" s="31" t="n"/>
      <c r="F28" s="31" t="n"/>
      <c r="G28" s="31" t="n"/>
    </row>
    <row r="29">
      <c r="A29" s="31" t="n"/>
      <c r="B29" s="31" t="n"/>
      <c r="C29" s="31" t="n"/>
      <c r="D29" s="31" t="n"/>
      <c r="E29" s="31" t="n"/>
      <c r="F29" s="31" t="n"/>
      <c r="G29" s="31" t="n"/>
    </row>
    <row r="30">
      <c r="A30" s="31" t="n"/>
      <c r="B30" s="31" t="n"/>
      <c r="C30" s="31" t="n"/>
      <c r="D30" s="31" t="n"/>
      <c r="E30" s="31" t="n"/>
      <c r="F30" s="31" t="n"/>
      <c r="G30" s="31" t="n"/>
    </row>
    <row r="31">
      <c r="A31" s="31" t="n"/>
      <c r="B31" s="31" t="n"/>
      <c r="C31" s="31" t="n"/>
      <c r="D31" s="31" t="n"/>
      <c r="E31" s="31" t="n"/>
      <c r="F31" s="31" t="n"/>
      <c r="G31" s="31" t="n"/>
    </row>
    <row r="32">
      <c r="A32" s="31" t="n"/>
      <c r="B32" s="31" t="n"/>
      <c r="C32" s="31" t="n"/>
      <c r="D32" s="31" t="n"/>
      <c r="E32" s="31" t="n"/>
      <c r="F32" s="31" t="n"/>
      <c r="G32" s="31" t="n"/>
    </row>
    <row r="33">
      <c r="A33" s="31" t="n"/>
      <c r="B33" s="31" t="n"/>
      <c r="C33" s="31" t="n"/>
      <c r="D33" s="31" t="n"/>
      <c r="E33" s="31" t="n"/>
      <c r="F33" s="31" t="n"/>
      <c r="G33" s="31" t="n"/>
    </row>
    <row r="34">
      <c r="A34" s="31" t="n"/>
      <c r="B34" s="31" t="n"/>
      <c r="C34" s="31" t="n"/>
      <c r="D34" s="31" t="n"/>
      <c r="E34" s="31" t="n"/>
      <c r="F34" s="31" t="n"/>
      <c r="G34" s="31" t="n"/>
    </row>
    <row r="35">
      <c r="A35" s="31" t="n"/>
      <c r="B35" s="31" t="n"/>
      <c r="C35" s="31" t="n"/>
      <c r="D35" s="31" t="n"/>
      <c r="E35" s="31" t="n"/>
      <c r="F35" s="31" t="n"/>
      <c r="G35" s="31" t="n"/>
    </row>
    <row r="36">
      <c r="A36" s="31" t="n"/>
      <c r="B36" s="31" t="n"/>
      <c r="C36" s="31" t="n"/>
      <c r="D36" s="31" t="n"/>
      <c r="E36" s="31" t="n"/>
      <c r="F36" s="31" t="n"/>
      <c r="G36" s="31" t="n"/>
    </row>
    <row r="37">
      <c r="A37" s="31" t="n"/>
      <c r="B37" s="31" t="n"/>
      <c r="C37" s="31" t="n"/>
      <c r="D37" s="31" t="n"/>
      <c r="E37" s="31" t="n"/>
      <c r="F37" s="31" t="n"/>
      <c r="G37" s="31" t="n"/>
    </row>
    <row r="38">
      <c r="A38" s="31" t="n"/>
      <c r="B38" s="31" t="n"/>
      <c r="C38" s="31" t="n"/>
      <c r="D38" s="31" t="n"/>
      <c r="E38" s="31" t="n"/>
      <c r="F38" s="31" t="n"/>
      <c r="G38" s="31" t="n"/>
    </row>
    <row r="39">
      <c r="A39" s="31" t="n"/>
      <c r="B39" s="31" t="n"/>
      <c r="C39" s="31" t="n"/>
      <c r="D39" s="31" t="n"/>
      <c r="E39" s="31" t="n"/>
      <c r="F39" s="31" t="n"/>
      <c r="G39" s="31" t="n"/>
    </row>
    <row r="40">
      <c r="A40" s="31" t="n"/>
      <c r="B40" s="31" t="n"/>
      <c r="C40" s="31" t="n"/>
      <c r="D40" s="31" t="n"/>
      <c r="E40" s="31" t="n"/>
      <c r="F40" s="31" t="n"/>
      <c r="G40" s="31" t="n"/>
    </row>
    <row r="41">
      <c r="A41" s="31" t="n"/>
      <c r="B41" s="31" t="n"/>
      <c r="C41" s="31" t="n"/>
      <c r="D41" s="31" t="n"/>
      <c r="E41" s="31" t="n"/>
      <c r="F41" s="31" t="n"/>
      <c r="G41" s="31" t="n"/>
    </row>
    <row r="42">
      <c r="A42" s="31" t="n"/>
      <c r="B42" s="31" t="n"/>
      <c r="C42" s="31" t="n"/>
      <c r="D42" s="31" t="n"/>
      <c r="E42" s="31" t="n"/>
      <c r="F42" s="31" t="n"/>
      <c r="G42" s="31" t="n"/>
    </row>
    <row r="43">
      <c r="A43" s="31" t="n"/>
      <c r="B43" s="31" t="n"/>
      <c r="C43" s="31" t="n"/>
      <c r="D43" s="31" t="n"/>
      <c r="E43" s="31" t="n"/>
      <c r="F43" s="31" t="n"/>
      <c r="G43" s="31" t="n"/>
    </row>
    <row r="44">
      <c r="A44" s="31" t="n"/>
      <c r="B44" s="31" t="n"/>
      <c r="C44" s="31" t="n"/>
      <c r="D44" s="31" t="n"/>
      <c r="E44" s="31" t="n"/>
      <c r="F44" s="31" t="n"/>
      <c r="G44" s="31" t="n"/>
    </row>
    <row r="45">
      <c r="A45" s="31" t="n"/>
      <c r="B45" s="31" t="n"/>
      <c r="C45" s="31" t="n"/>
      <c r="D45" s="31" t="n"/>
      <c r="E45" s="31" t="n"/>
      <c r="F45" s="31" t="n"/>
      <c r="G45" s="31" t="n"/>
    </row>
    <row r="46">
      <c r="A46" s="31" t="n"/>
      <c r="B46" s="31" t="n"/>
      <c r="C46" s="31" t="n"/>
      <c r="D46" s="31" t="n"/>
      <c r="E46" s="31" t="n"/>
      <c r="F46" s="31" t="n"/>
      <c r="G46" s="31" t="n"/>
    </row>
    <row r="47">
      <c r="A47" s="31" t="n"/>
      <c r="B47" s="31" t="n"/>
      <c r="C47" s="31" t="n"/>
      <c r="D47" s="31" t="n"/>
      <c r="E47" s="31" t="n"/>
      <c r="F47" s="31" t="n"/>
      <c r="G47" s="31" t="n"/>
    </row>
    <row r="48">
      <c r="A48" s="31" t="n"/>
      <c r="B48" s="31" t="n"/>
      <c r="C48" s="31" t="n"/>
      <c r="D48" s="31" t="n"/>
      <c r="E48" s="31" t="n"/>
      <c r="F48" s="31" t="n"/>
      <c r="G48" s="31" t="n"/>
    </row>
    <row r="49">
      <c r="A49" s="31" t="n"/>
      <c r="B49" s="31" t="n"/>
      <c r="C49" s="31" t="n"/>
      <c r="D49" s="31" t="n"/>
      <c r="E49" s="31" t="n"/>
      <c r="F49" s="31" t="n"/>
      <c r="G49" s="31" t="n"/>
    </row>
    <row r="50">
      <c r="A50" s="31" t="n"/>
      <c r="B50" s="31" t="n"/>
      <c r="C50" s="31" t="n"/>
      <c r="D50" s="31" t="n"/>
      <c r="E50" s="31" t="n"/>
      <c r="F50" s="31" t="n"/>
      <c r="G50" s="31" t="n"/>
    </row>
    <row r="51">
      <c r="A51" s="31" t="n"/>
      <c r="B51" s="31" t="n"/>
      <c r="C51" s="31" t="n"/>
      <c r="D51" s="31" t="n"/>
      <c r="E51" s="31" t="n"/>
      <c r="F51" s="31" t="n"/>
      <c r="G51" s="31" t="n"/>
    </row>
    <row r="52">
      <c r="A52" s="31" t="n"/>
      <c r="B52" s="31" t="n"/>
      <c r="C52" s="31" t="n"/>
      <c r="D52" s="31" t="n"/>
      <c r="E52" s="31" t="n"/>
      <c r="F52" s="31" t="n"/>
      <c r="G52" s="31" t="n"/>
    </row>
    <row r="53">
      <c r="A53" s="31" t="n"/>
      <c r="B53" s="31" t="n"/>
      <c r="C53" s="31" t="n"/>
      <c r="D53" s="31" t="n"/>
      <c r="E53" s="31" t="n"/>
      <c r="F53" s="31" t="n"/>
      <c r="G53" s="31" t="n"/>
    </row>
    <row r="54">
      <c r="A54" s="31" t="n"/>
      <c r="B54" s="31" t="n"/>
      <c r="C54" s="31" t="n"/>
      <c r="D54" s="31" t="n"/>
      <c r="E54" s="31" t="n"/>
      <c r="F54" s="31" t="n"/>
      <c r="G54" s="31" t="n"/>
    </row>
    <row r="55">
      <c r="A55" s="31" t="n"/>
      <c r="B55" s="31" t="n"/>
      <c r="C55" s="31" t="n"/>
      <c r="D55" s="31" t="n"/>
      <c r="E55" s="31" t="n"/>
      <c r="F55" s="31" t="n"/>
      <c r="G55" s="31" t="n"/>
    </row>
    <row r="56">
      <c r="A56" s="31" t="n"/>
      <c r="B56" s="31" t="n"/>
      <c r="C56" s="31" t="n"/>
      <c r="D56" s="31" t="n"/>
      <c r="E56" s="31" t="n"/>
      <c r="F56" s="31" t="n"/>
      <c r="G56" s="31" t="n"/>
    </row>
    <row r="57">
      <c r="A57" s="31" t="n"/>
      <c r="B57" s="31" t="n"/>
      <c r="C57" s="31" t="n"/>
      <c r="D57" s="31" t="n"/>
      <c r="E57" s="31" t="n"/>
      <c r="F57" s="31" t="n"/>
      <c r="G57" s="31" t="n"/>
    </row>
    <row r="58">
      <c r="A58" s="31" t="n"/>
      <c r="B58" s="31" t="n"/>
      <c r="C58" s="31" t="n"/>
      <c r="D58" s="31" t="n"/>
      <c r="E58" s="31" t="n"/>
      <c r="F58" s="31" t="n"/>
      <c r="G58" s="31" t="n"/>
    </row>
    <row r="59">
      <c r="A59" s="31" t="n"/>
      <c r="B59" s="31" t="n"/>
      <c r="C59" s="31" t="n"/>
      <c r="D59" s="31" t="n"/>
      <c r="E59" s="31" t="n"/>
      <c r="F59" s="31" t="n"/>
      <c r="G59" s="31" t="n"/>
    </row>
    <row r="60">
      <c r="A60" s="31" t="n"/>
      <c r="B60" s="31" t="n"/>
      <c r="C60" s="31" t="n"/>
      <c r="D60" s="31" t="n"/>
      <c r="E60" s="31" t="n"/>
      <c r="F60" s="31" t="n"/>
      <c r="G60" s="31" t="n"/>
    </row>
    <row r="61">
      <c r="A61" s="31" t="n"/>
      <c r="B61" s="31" t="n"/>
      <c r="C61" s="31" t="n"/>
      <c r="D61" s="31" t="n"/>
      <c r="E61" s="31" t="n"/>
      <c r="F61" s="31" t="n"/>
      <c r="G61" s="31" t="n"/>
    </row>
    <row r="62">
      <c r="A62" s="31" t="n"/>
      <c r="B62" s="31" t="n"/>
      <c r="C62" s="31" t="n"/>
      <c r="D62" s="31" t="n"/>
      <c r="E62" s="31" t="n"/>
      <c r="F62" s="31" t="n"/>
      <c r="G62" s="31" t="n"/>
    </row>
    <row r="63">
      <c r="A63" s="31" t="n"/>
      <c r="B63" s="31" t="n"/>
      <c r="C63" s="31" t="n"/>
      <c r="D63" s="31" t="n"/>
      <c r="E63" s="31" t="n"/>
      <c r="F63" s="31" t="n"/>
      <c r="G63" s="31" t="n"/>
    </row>
    <row r="64">
      <c r="A64" s="31" t="n"/>
      <c r="B64" s="31" t="n"/>
      <c r="C64" s="31" t="n"/>
      <c r="D64" s="31" t="n"/>
      <c r="E64" s="31" t="n"/>
      <c r="F64" s="31" t="n"/>
      <c r="G64" s="31" t="n"/>
    </row>
    <row r="65">
      <c r="A65" s="31" t="n"/>
      <c r="B65" s="31" t="n"/>
      <c r="C65" s="31" t="n"/>
      <c r="D65" s="31" t="n"/>
      <c r="E65" s="31" t="n"/>
      <c r="F65" s="31" t="n"/>
      <c r="G65" s="31" t="n"/>
    </row>
    <row r="66">
      <c r="A66" s="31" t="n"/>
      <c r="B66" s="31" t="n"/>
      <c r="C66" s="31" t="n"/>
      <c r="D66" s="31" t="n"/>
      <c r="E66" s="31" t="n"/>
      <c r="F66" s="31" t="n"/>
      <c r="G66" s="31" t="n"/>
    </row>
    <row r="67">
      <c r="A67" s="31" t="n"/>
      <c r="B67" s="31" t="n"/>
      <c r="C67" s="31" t="n"/>
      <c r="D67" s="31" t="n"/>
      <c r="E67" s="31" t="n"/>
      <c r="F67" s="31" t="n"/>
      <c r="G67" s="31" t="n"/>
    </row>
    <row r="68">
      <c r="A68" s="31" t="n"/>
      <c r="B68" s="31" t="n"/>
      <c r="C68" s="31" t="n"/>
      <c r="D68" s="31" t="n"/>
      <c r="E68" s="31" t="n"/>
      <c r="F68" s="31" t="n"/>
      <c r="G68" s="31" t="n"/>
    </row>
    <row r="69">
      <c r="A69" s="31" t="n"/>
      <c r="B69" s="31" t="n"/>
      <c r="C69" s="31" t="n"/>
      <c r="D69" s="31" t="n"/>
      <c r="E69" s="31" t="n"/>
      <c r="F69" s="31" t="n"/>
      <c r="G69" s="31" t="n"/>
    </row>
    <row r="70">
      <c r="A70" s="31" t="n"/>
      <c r="B70" s="31" t="n"/>
      <c r="C70" s="31" t="n"/>
      <c r="D70" s="31" t="n"/>
      <c r="E70" s="31" t="n"/>
      <c r="F70" s="31" t="n"/>
      <c r="G70" s="31" t="n"/>
    </row>
    <row r="71">
      <c r="A71" s="31" t="n"/>
      <c r="B71" s="31" t="n"/>
      <c r="C71" s="31" t="n"/>
      <c r="D71" s="31" t="n"/>
      <c r="E71" s="31" t="n"/>
      <c r="F71" s="31" t="n"/>
      <c r="G71" s="31" t="n"/>
    </row>
    <row r="72">
      <c r="A72" s="31" t="n"/>
      <c r="B72" s="31" t="n"/>
      <c r="C72" s="31" t="n"/>
      <c r="D72" s="31" t="n"/>
      <c r="E72" s="31" t="n"/>
      <c r="F72" s="31" t="n"/>
      <c r="G72" s="31" t="n"/>
    </row>
    <row r="73">
      <c r="A73" s="31" t="n"/>
      <c r="B73" s="31" t="n"/>
      <c r="C73" s="31" t="n"/>
      <c r="D73" s="31" t="n"/>
      <c r="E73" s="31" t="n"/>
      <c r="F73" s="31" t="n"/>
      <c r="G73" s="31" t="n"/>
    </row>
    <row r="74">
      <c r="A74" s="31" t="n"/>
      <c r="B74" s="31" t="n"/>
      <c r="C74" s="31" t="n"/>
      <c r="D74" s="31" t="n"/>
      <c r="E74" s="31" t="n"/>
      <c r="F74" s="31" t="n"/>
      <c r="G74" s="31" t="n"/>
    </row>
    <row r="75">
      <c r="A75" s="31" t="n"/>
      <c r="B75" s="31" t="n"/>
      <c r="C75" s="31" t="n"/>
      <c r="D75" s="31" t="n"/>
      <c r="E75" s="31" t="n"/>
      <c r="F75" s="31" t="n"/>
      <c r="G75" s="31" t="n"/>
    </row>
    <row r="76">
      <c r="A76" s="31" t="n"/>
      <c r="B76" s="31" t="n"/>
      <c r="C76" s="31" t="n"/>
      <c r="D76" s="31" t="n"/>
      <c r="E76" s="31" t="n"/>
      <c r="F76" s="31" t="n"/>
      <c r="G76" s="31" t="n"/>
    </row>
    <row r="77">
      <c r="A77" s="31" t="n"/>
      <c r="B77" s="31" t="n"/>
      <c r="C77" s="31" t="n"/>
      <c r="D77" s="31" t="n"/>
      <c r="E77" s="31" t="n"/>
      <c r="F77" s="31" t="n"/>
      <c r="G77" s="31" t="n"/>
    </row>
    <row r="78">
      <c r="A78" s="31" t="n"/>
      <c r="B78" s="31" t="n"/>
      <c r="C78" s="31" t="n"/>
      <c r="D78" s="31" t="n"/>
      <c r="E78" s="31" t="n"/>
      <c r="F78" s="31" t="n"/>
      <c r="G78" s="31" t="n"/>
    </row>
    <row r="79">
      <c r="A79" s="31" t="n"/>
      <c r="B79" s="31" t="n"/>
      <c r="C79" s="31" t="n"/>
      <c r="D79" s="31" t="n"/>
      <c r="E79" s="31" t="n"/>
      <c r="F79" s="31" t="n"/>
      <c r="G79" s="31" t="n"/>
    </row>
    <row r="80">
      <c r="A80" s="31" t="n"/>
      <c r="B80" s="31" t="n"/>
      <c r="C80" s="31" t="n"/>
      <c r="D80" s="31" t="n"/>
      <c r="E80" s="31" t="n"/>
      <c r="F80" s="31" t="n"/>
      <c r="G80" s="31" t="n"/>
    </row>
    <row r="81">
      <c r="A81" s="31" t="n"/>
      <c r="B81" s="31" t="n"/>
      <c r="C81" s="31" t="n"/>
      <c r="D81" s="31" t="n"/>
      <c r="E81" s="31" t="n"/>
      <c r="F81" s="31" t="n"/>
      <c r="G81" s="31" t="n"/>
    </row>
    <row r="82">
      <c r="A82" s="31" t="n"/>
      <c r="B82" s="31" t="n"/>
      <c r="C82" s="31" t="n"/>
      <c r="D82" s="31" t="n"/>
      <c r="E82" s="31" t="n"/>
      <c r="F82" s="31" t="n"/>
      <c r="G82" s="31" t="n"/>
    </row>
    <row r="83">
      <c r="A83" s="31" t="n"/>
      <c r="B83" s="31" t="n"/>
      <c r="C83" s="31" t="n"/>
      <c r="D83" s="31" t="n"/>
      <c r="E83" s="31" t="n"/>
      <c r="F83" s="31" t="n"/>
      <c r="G83" s="31" t="n"/>
    </row>
    <row r="84">
      <c r="A84" s="31" t="n"/>
      <c r="B84" s="31" t="n"/>
      <c r="C84" s="31" t="n"/>
      <c r="D84" s="31" t="n"/>
      <c r="E84" s="31" t="n"/>
      <c r="F84" s="31" t="n"/>
      <c r="G84" s="31" t="n"/>
    </row>
    <row r="85">
      <c r="A85" s="31" t="n"/>
      <c r="B85" s="31" t="n"/>
      <c r="C85" s="31" t="n"/>
      <c r="D85" s="31" t="n"/>
      <c r="E85" s="31" t="n"/>
      <c r="F85" s="31" t="n"/>
      <c r="G85" s="31" t="n"/>
    </row>
    <row r="86">
      <c r="A86" s="31" t="n"/>
      <c r="B86" s="31" t="n"/>
      <c r="C86" s="31" t="n"/>
      <c r="D86" s="31" t="n"/>
      <c r="E86" s="31" t="n"/>
      <c r="F86" s="31" t="n"/>
      <c r="G86" s="31" t="n"/>
    </row>
    <row r="87">
      <c r="A87" s="31" t="n"/>
      <c r="B87" s="31" t="n"/>
      <c r="C87" s="31" t="n"/>
      <c r="D87" s="31" t="n"/>
      <c r="E87" s="31" t="n"/>
      <c r="F87" s="31" t="n"/>
      <c r="G87" s="31" t="n"/>
    </row>
    <row r="88">
      <c r="A88" s="31" t="n"/>
      <c r="B88" s="31" t="n"/>
      <c r="C88" s="31" t="n"/>
      <c r="D88" s="31" t="n"/>
      <c r="E88" s="31" t="n"/>
      <c r="F88" s="31" t="n"/>
      <c r="G88" s="31" t="n"/>
    </row>
    <row r="89">
      <c r="A89" s="31" t="n"/>
      <c r="B89" s="31" t="n"/>
      <c r="C89" s="31" t="n"/>
      <c r="D89" s="31" t="n"/>
      <c r="E89" s="31" t="n"/>
      <c r="F89" s="31" t="n"/>
      <c r="G89" s="31" t="n"/>
    </row>
    <row r="90">
      <c r="A90" s="31" t="n"/>
      <c r="B90" s="31" t="n"/>
      <c r="C90" s="31" t="n"/>
      <c r="D90" s="31" t="n"/>
      <c r="E90" s="31" t="n"/>
      <c r="F90" s="31" t="n"/>
      <c r="G90" s="31" t="n"/>
    </row>
    <row r="91">
      <c r="A91" s="31" t="n"/>
      <c r="B91" s="31" t="n"/>
      <c r="C91" s="31" t="n"/>
      <c r="D91" s="31" t="n"/>
      <c r="E91" s="31" t="n"/>
      <c r="F91" s="31" t="n"/>
      <c r="G91" s="31" t="n"/>
    </row>
    <row r="92">
      <c r="A92" s="31" t="n"/>
      <c r="B92" s="31" t="n"/>
      <c r="C92" s="31" t="n"/>
      <c r="D92" s="31" t="n"/>
      <c r="E92" s="31" t="n"/>
      <c r="F92" s="31" t="n"/>
      <c r="G92" s="31" t="n"/>
    </row>
    <row r="93">
      <c r="A93" s="31" t="n"/>
      <c r="B93" s="31" t="n"/>
      <c r="C93" s="31" t="n"/>
      <c r="D93" s="31" t="n"/>
      <c r="E93" s="31" t="n"/>
      <c r="F93" s="31" t="n"/>
      <c r="G93" s="31" t="n"/>
    </row>
    <row r="94">
      <c r="A94" s="31" t="n"/>
      <c r="B94" s="31" t="n"/>
      <c r="C94" s="31" t="n"/>
      <c r="D94" s="31" t="n"/>
      <c r="E94" s="31" t="n"/>
      <c r="F94" s="31" t="n"/>
      <c r="G94" s="31" t="n"/>
    </row>
    <row r="95">
      <c r="A95" s="31" t="n"/>
      <c r="B95" s="31" t="n"/>
      <c r="C95" s="31" t="n"/>
      <c r="D95" s="31" t="n"/>
      <c r="E95" s="31" t="n"/>
      <c r="F95" s="31" t="n"/>
      <c r="G95" s="31" t="n"/>
    </row>
    <row r="96">
      <c r="A96" s="31" t="n"/>
      <c r="B96" s="31" t="n"/>
      <c r="C96" s="31" t="n"/>
      <c r="D96" s="31" t="n"/>
      <c r="E96" s="31" t="n"/>
      <c r="F96" s="31" t="n"/>
      <c r="G96" s="31" t="n"/>
    </row>
    <row r="97">
      <c r="A97" s="31" t="n"/>
      <c r="B97" s="31" t="n"/>
      <c r="C97" s="31" t="n"/>
      <c r="D97" s="31" t="n"/>
      <c r="E97" s="31" t="n"/>
      <c r="F97" s="31" t="n"/>
      <c r="G97" s="31" t="n"/>
    </row>
    <row r="98">
      <c r="A98" s="31" t="n"/>
      <c r="B98" s="31" t="n"/>
      <c r="C98" s="31" t="n"/>
      <c r="D98" s="31" t="n"/>
      <c r="E98" s="31" t="n"/>
      <c r="F98" s="31" t="n"/>
      <c r="G98" s="31" t="n"/>
    </row>
    <row r="99">
      <c r="A99" s="31" t="n"/>
      <c r="B99" s="31" t="n"/>
      <c r="C99" s="31" t="n"/>
      <c r="D99" s="31" t="n"/>
      <c r="E99" s="31" t="n"/>
      <c r="F99" s="31" t="n"/>
      <c r="G99" s="31" t="n"/>
    </row>
    <row r="100">
      <c r="A100" s="31" t="n"/>
      <c r="B100" s="31" t="n"/>
      <c r="C100" s="31" t="n"/>
      <c r="D100" s="31" t="n"/>
      <c r="E100" s="31" t="n"/>
      <c r="F100" s="31" t="n"/>
      <c r="G100" s="31" t="n"/>
    </row>
    <row r="101">
      <c r="A101" s="31" t="n"/>
      <c r="B101" s="31" t="n"/>
      <c r="C101" s="31" t="n"/>
      <c r="D101" s="31" t="n"/>
      <c r="E101" s="31" t="n"/>
      <c r="F101" s="31" t="n"/>
      <c r="G101" s="31" t="n"/>
    </row>
    <row r="102">
      <c r="A102" s="31" t="n"/>
      <c r="B102" s="31" t="n"/>
      <c r="C102" s="31" t="n"/>
      <c r="D102" s="31" t="n"/>
      <c r="E102" s="31" t="n"/>
      <c r="F102" s="31" t="n"/>
      <c r="G102" s="31" t="n"/>
    </row>
    <row r="103">
      <c r="A103" s="31" t="n"/>
      <c r="B103" s="31" t="n"/>
      <c r="C103" s="31" t="n"/>
      <c r="D103" s="31" t="n"/>
      <c r="E103" s="31" t="n"/>
      <c r="F103" s="31" t="n"/>
      <c r="G103" s="31" t="n"/>
    </row>
    <row r="104">
      <c r="A104" s="31" t="n"/>
      <c r="B104" s="31" t="n"/>
      <c r="C104" s="31" t="n"/>
      <c r="D104" s="31" t="n"/>
      <c r="E104" s="31" t="n"/>
      <c r="F104" s="31" t="n"/>
      <c r="G104" s="31" t="n"/>
    </row>
    <row r="105">
      <c r="A105" s="31" t="n"/>
      <c r="B105" s="31" t="n"/>
      <c r="C105" s="31" t="n"/>
      <c r="D105" s="31" t="n"/>
      <c r="E105" s="31" t="n"/>
      <c r="F105" s="31" t="n"/>
      <c r="G105" s="31" t="n"/>
    </row>
    <row r="106">
      <c r="A106" s="31" t="n"/>
      <c r="B106" s="31" t="n"/>
      <c r="C106" s="31" t="n"/>
      <c r="D106" s="31" t="n"/>
      <c r="E106" s="31" t="n"/>
      <c r="F106" s="31" t="n"/>
      <c r="G106" s="31" t="n"/>
    </row>
    <row r="107">
      <c r="A107" s="31" t="n"/>
      <c r="B107" s="31" t="n"/>
      <c r="C107" s="31" t="n"/>
      <c r="D107" s="31" t="n"/>
      <c r="E107" s="31" t="n"/>
      <c r="F107" s="31" t="n"/>
      <c r="G107" s="31" t="n"/>
    </row>
    <row r="108">
      <c r="A108" s="31" t="n"/>
      <c r="B108" s="31" t="n"/>
      <c r="C108" s="31" t="n"/>
      <c r="D108" s="31" t="n"/>
      <c r="E108" s="31" t="n"/>
      <c r="F108" s="31" t="n"/>
      <c r="G108" s="31" t="n"/>
    </row>
    <row r="109">
      <c r="A109" s="31" t="n"/>
      <c r="B109" s="31" t="n"/>
      <c r="C109" s="31" t="n"/>
      <c r="D109" s="31" t="n"/>
      <c r="E109" s="31" t="n"/>
      <c r="F109" s="31" t="n"/>
      <c r="G109" s="31" t="n"/>
    </row>
    <row r="110">
      <c r="A110" s="31" t="n"/>
      <c r="B110" s="31" t="n"/>
      <c r="C110" s="31" t="n"/>
      <c r="D110" s="31" t="n"/>
      <c r="E110" s="31" t="n"/>
      <c r="F110" s="31" t="n"/>
      <c r="G110" s="31" t="n"/>
    </row>
    <row r="111">
      <c r="A111" s="31" t="n"/>
      <c r="B111" s="31" t="n"/>
      <c r="C111" s="31" t="n"/>
      <c r="D111" s="31" t="n"/>
      <c r="E111" s="31" t="n"/>
      <c r="F111" s="31" t="n"/>
      <c r="G111" s="31" t="n"/>
    </row>
    <row r="112">
      <c r="A112" s="31" t="n"/>
      <c r="B112" s="31" t="n"/>
      <c r="C112" s="31" t="n"/>
      <c r="D112" s="31" t="n"/>
      <c r="E112" s="31" t="n"/>
      <c r="F112" s="31" t="n"/>
      <c r="G112" s="31" t="n"/>
    </row>
    <row r="113">
      <c r="A113" s="31" t="n"/>
      <c r="B113" s="31" t="n"/>
      <c r="C113" s="31" t="n"/>
      <c r="D113" s="31" t="n"/>
      <c r="E113" s="31" t="n"/>
      <c r="F113" s="31" t="n"/>
      <c r="G113" s="31" t="n"/>
    </row>
    <row r="114">
      <c r="A114" s="31" t="n"/>
      <c r="B114" s="31" t="n"/>
      <c r="C114" s="31" t="n"/>
      <c r="D114" s="31" t="n"/>
      <c r="E114" s="31" t="n"/>
      <c r="F114" s="31" t="n"/>
      <c r="G114" s="31" t="n"/>
    </row>
    <row r="115">
      <c r="A115" s="31" t="n"/>
      <c r="B115" s="31" t="n"/>
      <c r="C115" s="31" t="n"/>
      <c r="D115" s="31" t="n"/>
      <c r="E115" s="31" t="n"/>
      <c r="F115" s="31" t="n"/>
      <c r="G115" s="31" t="n"/>
    </row>
    <row r="116">
      <c r="A116" s="31" t="n"/>
      <c r="B116" s="31" t="n"/>
      <c r="C116" s="31" t="n"/>
      <c r="D116" s="31" t="n"/>
      <c r="E116" s="31" t="n"/>
      <c r="F116" s="31" t="n"/>
      <c r="G116" s="31" t="n"/>
    </row>
    <row r="117">
      <c r="A117" s="31" t="n"/>
      <c r="B117" s="31" t="n"/>
      <c r="C117" s="31" t="n"/>
      <c r="D117" s="31" t="n"/>
      <c r="E117" s="31" t="n"/>
      <c r="F117" s="31" t="n"/>
      <c r="G117" s="31" t="n"/>
    </row>
    <row r="118">
      <c r="A118" s="31" t="n"/>
      <c r="B118" s="31" t="n"/>
      <c r="C118" s="31" t="n"/>
      <c r="D118" s="31" t="n"/>
      <c r="E118" s="31" t="n"/>
      <c r="F118" s="31" t="n"/>
      <c r="G118" s="31" t="n"/>
    </row>
    <row r="119">
      <c r="A119" s="31" t="n"/>
      <c r="B119" s="31" t="n"/>
      <c r="C119" s="31" t="n"/>
      <c r="D119" s="31" t="n"/>
      <c r="E119" s="31" t="n"/>
      <c r="F119" s="31" t="n"/>
      <c r="G119" s="31" t="n"/>
    </row>
    <row r="120">
      <c r="A120" s="31" t="n"/>
      <c r="B120" s="31" t="n"/>
      <c r="C120" s="31" t="n"/>
      <c r="D120" s="31" t="n"/>
      <c r="E120" s="31" t="n"/>
      <c r="F120" s="31" t="n"/>
      <c r="G120" s="31" t="n"/>
    </row>
    <row r="121">
      <c r="A121" s="31" t="n"/>
      <c r="B121" s="31" t="n"/>
      <c r="C121" s="31" t="n"/>
      <c r="D121" s="31" t="n"/>
      <c r="E121" s="31" t="n"/>
      <c r="F121" s="31" t="n"/>
      <c r="G121" s="31" t="n"/>
    </row>
    <row r="122">
      <c r="A122" s="31" t="n"/>
      <c r="B122" s="31" t="n"/>
      <c r="C122" s="31" t="n"/>
      <c r="D122" s="31" t="n"/>
      <c r="E122" s="31" t="n"/>
      <c r="F122" s="31" t="n"/>
      <c r="G122" s="31" t="n"/>
    </row>
    <row r="123">
      <c r="A123" s="31" t="n"/>
      <c r="B123" s="31" t="n"/>
      <c r="C123" s="31" t="n"/>
      <c r="D123" s="31" t="n"/>
      <c r="E123" s="31" t="n"/>
      <c r="F123" s="31" t="n"/>
      <c r="G123" s="31" t="n"/>
    </row>
    <row r="124">
      <c r="A124" s="31" t="n"/>
      <c r="B124" s="31" t="n"/>
      <c r="C124" s="31" t="n"/>
      <c r="D124" s="31" t="n"/>
      <c r="E124" s="31" t="n"/>
      <c r="F124" s="31" t="n"/>
      <c r="G124" s="31" t="n"/>
    </row>
    <row r="125">
      <c r="A125" s="31" t="n"/>
      <c r="B125" s="31" t="n"/>
      <c r="C125" s="31" t="n"/>
      <c r="D125" s="31" t="n"/>
      <c r="E125" s="31" t="n"/>
      <c r="F125" s="31" t="n"/>
      <c r="G125" s="31" t="n"/>
    </row>
    <row r="126">
      <c r="A126" s="31" t="n"/>
      <c r="B126" s="31" t="n"/>
      <c r="C126" s="31" t="n"/>
      <c r="D126" s="31" t="n"/>
      <c r="E126" s="31" t="n"/>
      <c r="F126" s="31" t="n"/>
      <c r="G126" s="31" t="n"/>
    </row>
    <row r="127">
      <c r="A127" s="31" t="n"/>
      <c r="B127" s="31" t="n"/>
      <c r="C127" s="31" t="n"/>
      <c r="D127" s="31" t="n"/>
      <c r="E127" s="31" t="n"/>
      <c r="F127" s="31" t="n"/>
      <c r="G127" s="31" t="n"/>
    </row>
    <row r="128">
      <c r="A128" s="31" t="n"/>
      <c r="B128" s="31" t="n"/>
      <c r="C128" s="31" t="n"/>
      <c r="D128" s="31" t="n"/>
      <c r="E128" s="31" t="n"/>
      <c r="F128" s="31" t="n"/>
      <c r="G128" s="31" t="n"/>
    </row>
    <row r="129">
      <c r="A129" s="31" t="n"/>
      <c r="B129" s="31" t="n"/>
      <c r="C129" s="31" t="n"/>
      <c r="D129" s="31" t="n"/>
      <c r="E129" s="31" t="n"/>
      <c r="F129" s="31" t="n"/>
      <c r="G129" s="31" t="n"/>
    </row>
    <row r="130">
      <c r="A130" s="31" t="n"/>
      <c r="B130" s="31" t="n"/>
      <c r="C130" s="31" t="n"/>
      <c r="D130" s="31" t="n"/>
      <c r="E130" s="31" t="n"/>
      <c r="F130" s="31" t="n"/>
      <c r="G130" s="31" t="n"/>
    </row>
    <row r="131">
      <c r="A131" s="31" t="n"/>
      <c r="B131" s="31" t="n"/>
      <c r="C131" s="31" t="n"/>
      <c r="D131" s="31" t="n"/>
      <c r="E131" s="31" t="n"/>
      <c r="F131" s="31" t="n"/>
      <c r="G131" s="31" t="n"/>
    </row>
    <row r="132">
      <c r="A132" s="31" t="n"/>
      <c r="B132" s="31" t="n"/>
      <c r="C132" s="31" t="n"/>
      <c r="D132" s="31" t="n"/>
      <c r="E132" s="31" t="n"/>
      <c r="F132" s="31" t="n"/>
      <c r="G132" s="31" t="n"/>
    </row>
    <row r="133">
      <c r="A133" s="31" t="n"/>
      <c r="B133" s="31" t="n"/>
      <c r="C133" s="31" t="n"/>
      <c r="D133" s="31" t="n"/>
      <c r="E133" s="31" t="n"/>
      <c r="F133" s="31" t="n"/>
      <c r="G133" s="31" t="n"/>
    </row>
    <row r="134">
      <c r="A134" s="31" t="n"/>
      <c r="B134" s="31" t="n"/>
      <c r="C134" s="31" t="n"/>
      <c r="D134" s="31" t="n"/>
      <c r="E134" s="31" t="n"/>
      <c r="F134" s="31" t="n"/>
      <c r="G134" s="31" t="n"/>
    </row>
    <row r="135">
      <c r="A135" s="31" t="n"/>
      <c r="B135" s="31" t="n"/>
      <c r="C135" s="31" t="n"/>
      <c r="D135" s="31" t="n"/>
      <c r="E135" s="31" t="n"/>
      <c r="F135" s="31" t="n"/>
      <c r="G135" s="31" t="n"/>
    </row>
    <row r="136">
      <c r="A136" s="31" t="n"/>
      <c r="B136" s="31" t="n"/>
      <c r="C136" s="31" t="n"/>
      <c r="D136" s="31" t="n"/>
      <c r="E136" s="31" t="n"/>
      <c r="F136" s="31" t="n"/>
      <c r="G136" s="31" t="n"/>
    </row>
    <row r="137">
      <c r="A137" s="31" t="n"/>
      <c r="B137" s="31" t="n"/>
      <c r="C137" s="31" t="n"/>
      <c r="D137" s="31" t="n"/>
      <c r="E137" s="31" t="n"/>
      <c r="F137" s="31" t="n"/>
      <c r="G137" s="31" t="n"/>
    </row>
    <row r="138">
      <c r="A138" s="31" t="n"/>
      <c r="B138" s="31" t="n"/>
      <c r="C138" s="31" t="n"/>
      <c r="D138" s="31" t="n"/>
      <c r="E138" s="31" t="n"/>
      <c r="F138" s="31" t="n"/>
      <c r="G138" s="31" t="n"/>
    </row>
    <row r="139">
      <c r="A139" s="31" t="n"/>
      <c r="B139" s="31" t="n"/>
      <c r="C139" s="31" t="n"/>
      <c r="D139" s="31" t="n"/>
      <c r="E139" s="31" t="n"/>
      <c r="F139" s="31" t="n"/>
      <c r="G139" s="31" t="n"/>
    </row>
    <row r="140">
      <c r="A140" s="31" t="n"/>
      <c r="B140" s="31" t="n"/>
      <c r="C140" s="31" t="n"/>
      <c r="D140" s="31" t="n"/>
      <c r="E140" s="31" t="n"/>
      <c r="F140" s="31" t="n"/>
      <c r="G140" s="31" t="n"/>
    </row>
    <row r="141">
      <c r="A141" s="31" t="n"/>
      <c r="B141" s="31" t="n"/>
      <c r="C141" s="31" t="n"/>
      <c r="D141" s="31" t="n"/>
      <c r="E141" s="31" t="n"/>
      <c r="F141" s="31" t="n"/>
      <c r="G141" s="31" t="n"/>
    </row>
    <row r="142">
      <c r="A142" s="31" t="n"/>
      <c r="B142" s="31" t="n"/>
      <c r="C142" s="31" t="n"/>
      <c r="D142" s="31" t="n"/>
      <c r="E142" s="31" t="n"/>
      <c r="F142" s="31" t="n"/>
      <c r="G142" s="31" t="n"/>
    </row>
    <row r="143">
      <c r="A143" s="31" t="n"/>
      <c r="B143" s="31" t="n"/>
      <c r="C143" s="31" t="n"/>
      <c r="D143" s="31" t="n"/>
      <c r="E143" s="31" t="n"/>
      <c r="F143" s="31" t="n"/>
      <c r="G143" s="31" t="n"/>
    </row>
    <row r="144">
      <c r="A144" s="31" t="n"/>
      <c r="B144" s="31" t="n"/>
      <c r="C144" s="31" t="n"/>
      <c r="D144" s="31" t="n"/>
      <c r="E144" s="31" t="n"/>
      <c r="F144" s="31" t="n"/>
      <c r="G144" s="31" t="n"/>
    </row>
    <row r="145">
      <c r="A145" s="31" t="n"/>
      <c r="B145" s="31" t="n"/>
      <c r="C145" s="31" t="n"/>
      <c r="D145" s="31" t="n"/>
      <c r="E145" s="31" t="n"/>
      <c r="F145" s="31" t="n"/>
      <c r="G145" s="31" t="n"/>
    </row>
    <row r="146">
      <c r="A146" s="31" t="n"/>
      <c r="B146" s="31" t="n"/>
      <c r="C146" s="31" t="n"/>
      <c r="D146" s="31" t="n"/>
      <c r="E146" s="31" t="n"/>
      <c r="F146" s="31" t="n"/>
      <c r="G146" s="31" t="n"/>
    </row>
    <row r="147">
      <c r="A147" s="31" t="n"/>
      <c r="B147" s="31" t="n"/>
      <c r="C147" s="31" t="n"/>
      <c r="D147" s="31" t="n"/>
      <c r="E147" s="31" t="n"/>
      <c r="F147" s="31" t="n"/>
      <c r="G147" s="31" t="n"/>
    </row>
    <row r="148">
      <c r="A148" s="31" t="n"/>
      <c r="B148" s="31" t="n"/>
      <c r="C148" s="31" t="n"/>
      <c r="D148" s="31" t="n"/>
      <c r="E148" s="31" t="n"/>
      <c r="F148" s="31" t="n"/>
      <c r="G148" s="31" t="n"/>
    </row>
    <row r="149">
      <c r="A149" s="31" t="n"/>
      <c r="B149" s="31" t="n"/>
      <c r="C149" s="31" t="n"/>
      <c r="D149" s="31" t="n"/>
      <c r="E149" s="31" t="n"/>
      <c r="F149" s="31" t="n"/>
      <c r="G149" s="31" t="n"/>
    </row>
    <row r="150">
      <c r="A150" s="31" t="n"/>
      <c r="B150" s="31" t="n"/>
      <c r="C150" s="31" t="n"/>
      <c r="D150" s="31" t="n"/>
      <c r="E150" s="31" t="n"/>
      <c r="F150" s="31" t="n"/>
      <c r="G150" s="31" t="n"/>
    </row>
    <row r="151">
      <c r="A151" s="31" t="n"/>
      <c r="B151" s="31" t="n"/>
      <c r="C151" s="31" t="n"/>
      <c r="D151" s="31" t="n"/>
      <c r="E151" s="31" t="n"/>
      <c r="F151" s="31" t="n"/>
      <c r="G151" s="31" t="n"/>
    </row>
    <row r="152">
      <c r="A152" s="31" t="n"/>
      <c r="B152" s="31" t="n"/>
      <c r="C152" s="31" t="n"/>
      <c r="D152" s="31" t="n"/>
      <c r="E152" s="31" t="n"/>
      <c r="F152" s="31" t="n"/>
      <c r="G152" s="31" t="n"/>
    </row>
    <row r="153">
      <c r="A153" s="31" t="n"/>
      <c r="B153" s="31" t="n"/>
      <c r="C153" s="31" t="n"/>
      <c r="D153" s="31" t="n"/>
      <c r="E153" s="31" t="n"/>
      <c r="F153" s="31" t="n"/>
      <c r="G153" s="31" t="n"/>
    </row>
    <row r="154">
      <c r="A154" s="31" t="n"/>
      <c r="B154" s="31" t="n"/>
      <c r="C154" s="31" t="n"/>
      <c r="D154" s="31" t="n"/>
      <c r="E154" s="31" t="n"/>
      <c r="F154" s="31" t="n"/>
      <c r="G154" s="31" t="n"/>
    </row>
    <row r="155">
      <c r="A155" s="31" t="n"/>
      <c r="B155" s="31" t="n"/>
      <c r="C155" s="31" t="n"/>
      <c r="D155" s="31" t="n"/>
      <c r="E155" s="31" t="n"/>
      <c r="F155" s="31" t="n"/>
      <c r="G155" s="31" t="n"/>
    </row>
    <row r="156">
      <c r="A156" s="31" t="n"/>
      <c r="B156" s="31" t="n"/>
      <c r="C156" s="31" t="n"/>
      <c r="D156" s="31" t="n"/>
      <c r="E156" s="31" t="n"/>
      <c r="F156" s="31" t="n"/>
      <c r="G156" s="31" t="n"/>
    </row>
    <row r="157">
      <c r="A157" s="31" t="n"/>
      <c r="B157" s="31" t="n"/>
      <c r="C157" s="31" t="n"/>
      <c r="D157" s="31" t="n"/>
      <c r="E157" s="31" t="n"/>
      <c r="F157" s="31" t="n"/>
      <c r="G157" s="31" t="n"/>
    </row>
    <row r="158">
      <c r="A158" s="31" t="n"/>
      <c r="B158" s="31" t="n"/>
      <c r="C158" s="31" t="n"/>
      <c r="D158" s="31" t="n"/>
      <c r="E158" s="31" t="n"/>
      <c r="F158" s="31" t="n"/>
      <c r="G158" s="31" t="n"/>
    </row>
    <row r="159">
      <c r="A159" s="31" t="n"/>
      <c r="B159" s="31" t="n"/>
      <c r="C159" s="31" t="n"/>
      <c r="D159" s="31" t="n"/>
      <c r="E159" s="31" t="n"/>
      <c r="F159" s="31" t="n"/>
      <c r="G159" s="31" t="n"/>
    </row>
    <row r="160">
      <c r="A160" s="31" t="n"/>
      <c r="B160" s="31" t="n"/>
      <c r="C160" s="31" t="n"/>
      <c r="D160" s="31" t="n"/>
      <c r="E160" s="31" t="n"/>
      <c r="F160" s="31" t="n"/>
      <c r="G160" s="31" t="n"/>
    </row>
    <row r="161">
      <c r="A161" s="31" t="n"/>
      <c r="B161" s="31" t="n"/>
      <c r="C161" s="31" t="n"/>
      <c r="D161" s="31" t="n"/>
      <c r="E161" s="31" t="n"/>
      <c r="F161" s="31" t="n"/>
      <c r="G161" s="31" t="n"/>
    </row>
    <row r="162">
      <c r="A162" s="31" t="n"/>
      <c r="B162" s="31" t="n"/>
      <c r="C162" s="31" t="n"/>
      <c r="D162" s="31" t="n"/>
      <c r="E162" s="31" t="n"/>
      <c r="F162" s="31" t="n"/>
      <c r="G162" s="31" t="n"/>
    </row>
    <row r="163">
      <c r="A163" s="31" t="n"/>
      <c r="B163" s="31" t="n"/>
      <c r="C163" s="31" t="n"/>
      <c r="D163" s="31" t="n"/>
      <c r="E163" s="31" t="n"/>
      <c r="F163" s="31" t="n"/>
      <c r="G163" s="31" t="n"/>
    </row>
    <row r="164">
      <c r="A164" s="31" t="n"/>
      <c r="B164" s="31" t="n"/>
      <c r="C164" s="31" t="n"/>
      <c r="D164" s="31" t="n"/>
      <c r="E164" s="31" t="n"/>
      <c r="F164" s="31" t="n"/>
      <c r="G164" s="31" t="n"/>
    </row>
    <row r="165">
      <c r="A165" s="31" t="n"/>
      <c r="B165" s="31" t="n"/>
      <c r="C165" s="31" t="n"/>
      <c r="D165" s="31" t="n"/>
      <c r="E165" s="31" t="n"/>
      <c r="F165" s="31" t="n"/>
      <c r="G165" s="31" t="n"/>
    </row>
    <row r="166">
      <c r="A166" s="31" t="n"/>
      <c r="B166" s="31" t="n"/>
      <c r="C166" s="31" t="n"/>
      <c r="D166" s="31" t="n"/>
      <c r="E166" s="31" t="n"/>
      <c r="F166" s="31" t="n"/>
      <c r="G166" s="31" t="n"/>
    </row>
    <row r="167">
      <c r="A167" s="31" t="n"/>
      <c r="B167" s="31" t="n"/>
      <c r="C167" s="31" t="n"/>
      <c r="D167" s="31" t="n"/>
      <c r="E167" s="31" t="n"/>
      <c r="F167" s="31" t="n"/>
      <c r="G167" s="31" t="n"/>
    </row>
    <row r="168">
      <c r="A168" s="31" t="n"/>
      <c r="B168" s="31" t="n"/>
      <c r="C168" s="31" t="n"/>
      <c r="D168" s="31" t="n"/>
      <c r="E168" s="31" t="n"/>
      <c r="F168" s="31" t="n"/>
      <c r="G168" s="31" t="n"/>
    </row>
    <row r="169">
      <c r="A169" s="31" t="n"/>
      <c r="B169" s="31" t="n"/>
      <c r="C169" s="31" t="n"/>
      <c r="D169" s="31" t="n"/>
      <c r="E169" s="31" t="n"/>
      <c r="F169" s="31" t="n"/>
      <c r="G169" s="31" t="n"/>
    </row>
    <row r="170">
      <c r="A170" s="31" t="n"/>
      <c r="B170" s="31" t="n"/>
      <c r="C170" s="31" t="n"/>
      <c r="D170" s="31" t="n"/>
      <c r="E170" s="31" t="n"/>
      <c r="F170" s="31" t="n"/>
      <c r="G170" s="31" t="n"/>
    </row>
    <row r="171">
      <c r="A171" s="31" t="n"/>
      <c r="B171" s="31" t="n"/>
      <c r="C171" s="31" t="n"/>
      <c r="D171" s="31" t="n"/>
      <c r="E171" s="31" t="n"/>
      <c r="F171" s="31" t="n"/>
      <c r="G171" s="31" t="n"/>
    </row>
    <row r="172">
      <c r="A172" s="31" t="n"/>
      <c r="B172" s="31" t="n"/>
      <c r="C172" s="31" t="n"/>
      <c r="D172" s="31" t="n"/>
      <c r="E172" s="31" t="n"/>
      <c r="F172" s="31" t="n"/>
      <c r="G172" s="31" t="n"/>
    </row>
    <row r="173">
      <c r="A173" s="31" t="n"/>
      <c r="B173" s="31" t="n"/>
      <c r="C173" s="31" t="n"/>
      <c r="D173" s="31" t="n"/>
      <c r="E173" s="31" t="n"/>
      <c r="F173" s="31" t="n"/>
      <c r="G173" s="31" t="n"/>
    </row>
    <row r="174">
      <c r="A174" s="31" t="n"/>
      <c r="B174" s="31" t="n"/>
      <c r="C174" s="31" t="n"/>
      <c r="D174" s="31" t="n"/>
      <c r="E174" s="31" t="n"/>
      <c r="F174" s="31" t="n"/>
      <c r="G174" s="31" t="n"/>
    </row>
    <row r="175">
      <c r="A175" s="31" t="n"/>
      <c r="B175" s="31" t="n"/>
      <c r="C175" s="31" t="n"/>
      <c r="D175" s="31" t="n"/>
      <c r="E175" s="31" t="n"/>
      <c r="F175" s="31" t="n"/>
      <c r="G175" s="31" t="n"/>
    </row>
    <row r="176">
      <c r="A176" s="31" t="n"/>
      <c r="B176" s="31" t="n"/>
      <c r="C176" s="31" t="n"/>
      <c r="D176" s="31" t="n"/>
      <c r="E176" s="31" t="n"/>
      <c r="F176" s="31" t="n"/>
      <c r="G176" s="31" t="n"/>
    </row>
    <row r="177">
      <c r="A177" s="31" t="n"/>
      <c r="B177" s="31" t="n"/>
      <c r="C177" s="31" t="n"/>
      <c r="D177" s="31" t="n"/>
      <c r="E177" s="31" t="n"/>
      <c r="F177" s="31" t="n"/>
      <c r="G177" s="31" t="n"/>
    </row>
    <row r="178">
      <c r="A178" s="31" t="n"/>
      <c r="B178" s="31" t="n"/>
      <c r="C178" s="31" t="n"/>
      <c r="D178" s="31" t="n"/>
      <c r="E178" s="31" t="n"/>
      <c r="F178" s="31" t="n"/>
      <c r="G178" s="31" t="n"/>
    </row>
    <row r="179">
      <c r="A179" s="31" t="n"/>
      <c r="B179" s="31" t="n"/>
      <c r="C179" s="31" t="n"/>
      <c r="D179" s="31" t="n"/>
      <c r="E179" s="31" t="n"/>
      <c r="F179" s="31" t="n"/>
      <c r="G179" s="31" t="n"/>
    </row>
    <row r="180">
      <c r="A180" s="31" t="n"/>
      <c r="B180" s="31" t="n"/>
      <c r="C180" s="31" t="n"/>
      <c r="D180" s="31" t="n"/>
      <c r="E180" s="31" t="n"/>
      <c r="F180" s="31" t="n"/>
      <c r="G180" s="31" t="n"/>
    </row>
    <row r="181">
      <c r="A181" s="31" t="n"/>
      <c r="B181" s="31" t="n"/>
      <c r="C181" s="31" t="n"/>
      <c r="D181" s="31" t="n"/>
      <c r="E181" s="31" t="n"/>
      <c r="F181" s="31" t="n"/>
      <c r="G181" s="31" t="n"/>
    </row>
    <row r="182">
      <c r="A182" s="31" t="n"/>
      <c r="B182" s="31" t="n"/>
      <c r="C182" s="31" t="n"/>
      <c r="D182" s="31" t="n"/>
      <c r="E182" s="31" t="n"/>
      <c r="F182" s="31" t="n"/>
      <c r="G182" s="31" t="n"/>
    </row>
    <row r="183">
      <c r="A183" s="31" t="n"/>
      <c r="B183" s="31" t="n"/>
      <c r="C183" s="31" t="n"/>
      <c r="D183" s="31" t="n"/>
      <c r="E183" s="31" t="n"/>
      <c r="F183" s="31" t="n"/>
      <c r="G183" s="31" t="n"/>
    </row>
    <row r="184">
      <c r="A184" s="31" t="n"/>
      <c r="B184" s="31" t="n"/>
      <c r="C184" s="31" t="n"/>
      <c r="D184" s="31" t="n"/>
      <c r="E184" s="31" t="n"/>
      <c r="F184" s="31" t="n"/>
      <c r="G184" s="31" t="n"/>
    </row>
    <row r="185">
      <c r="A185" s="31" t="n"/>
      <c r="B185" s="31" t="n"/>
      <c r="C185" s="31" t="n"/>
      <c r="D185" s="31" t="n"/>
      <c r="E185" s="31" t="n"/>
      <c r="F185" s="31" t="n"/>
      <c r="G185" s="31" t="n"/>
    </row>
    <row r="186">
      <c r="A186" s="31" t="n"/>
      <c r="B186" s="31" t="n"/>
      <c r="C186" s="31" t="n"/>
      <c r="D186" s="31" t="n"/>
      <c r="E186" s="31" t="n"/>
      <c r="F186" s="31" t="n"/>
      <c r="G186" s="31" t="n"/>
    </row>
    <row r="187">
      <c r="A187" s="31" t="n"/>
      <c r="B187" s="31" t="n"/>
      <c r="C187" s="31" t="n"/>
      <c r="D187" s="31" t="n"/>
      <c r="E187" s="31" t="n"/>
      <c r="F187" s="31" t="n"/>
      <c r="G187" s="31" t="n"/>
    </row>
    <row r="188">
      <c r="A188" s="31" t="n"/>
      <c r="B188" s="31" t="n"/>
      <c r="C188" s="31" t="n"/>
      <c r="D188" s="31" t="n"/>
      <c r="E188" s="31" t="n"/>
      <c r="F188" s="31" t="n"/>
      <c r="G188" s="31" t="n"/>
    </row>
    <row r="189">
      <c r="A189" s="31" t="n"/>
      <c r="B189" s="31" t="n"/>
      <c r="C189" s="31" t="n"/>
      <c r="D189" s="31" t="n"/>
      <c r="E189" s="31" t="n"/>
      <c r="F189" s="31" t="n"/>
      <c r="G189" s="31" t="n"/>
    </row>
    <row r="190">
      <c r="A190" s="31" t="n"/>
      <c r="B190" s="31" t="n"/>
      <c r="C190" s="31" t="n"/>
      <c r="D190" s="31" t="n"/>
      <c r="E190" s="31" t="n"/>
      <c r="F190" s="31" t="n"/>
      <c r="G190" s="31" t="n"/>
    </row>
    <row r="191">
      <c r="A191" s="31" t="n"/>
      <c r="B191" s="31" t="n"/>
      <c r="C191" s="31" t="n"/>
      <c r="D191" s="31" t="n"/>
      <c r="E191" s="31" t="n"/>
      <c r="F191" s="31" t="n"/>
      <c r="G191" s="31" t="n"/>
    </row>
    <row r="192">
      <c r="A192" s="31" t="n"/>
      <c r="B192" s="31" t="n"/>
      <c r="C192" s="31" t="n"/>
      <c r="D192" s="31" t="n"/>
      <c r="E192" s="31" t="n"/>
      <c r="F192" s="31" t="n"/>
      <c r="G192" s="31" t="n"/>
    </row>
    <row r="193">
      <c r="A193" s="31" t="n"/>
      <c r="B193" s="31" t="n"/>
      <c r="C193" s="31" t="n"/>
      <c r="D193" s="31" t="n"/>
      <c r="E193" s="31" t="n"/>
      <c r="F193" s="31" t="n"/>
      <c r="G193" s="31" t="n"/>
    </row>
    <row r="194">
      <c r="A194" s="31" t="n"/>
      <c r="B194" s="31" t="n"/>
      <c r="C194" s="31" t="n"/>
      <c r="D194" s="31" t="n"/>
      <c r="E194" s="31" t="n"/>
      <c r="F194" s="31" t="n"/>
      <c r="G194" s="31" t="n"/>
    </row>
    <row r="195">
      <c r="A195" s="31" t="n"/>
      <c r="B195" s="31" t="n"/>
      <c r="C195" s="31" t="n"/>
      <c r="D195" s="31" t="n"/>
      <c r="E195" s="31" t="n"/>
      <c r="F195" s="31" t="n"/>
      <c r="G195" s="31" t="n"/>
    </row>
    <row r="196">
      <c r="A196" s="31" t="n"/>
      <c r="B196" s="31" t="n"/>
      <c r="C196" s="31" t="n"/>
      <c r="D196" s="31" t="n"/>
      <c r="E196" s="31" t="n"/>
      <c r="F196" s="31" t="n"/>
      <c r="G196" s="31" t="n"/>
    </row>
    <row r="197">
      <c r="A197" s="31" t="n"/>
      <c r="B197" s="31" t="n"/>
      <c r="C197" s="31" t="n"/>
      <c r="D197" s="31" t="n"/>
      <c r="E197" s="31" t="n"/>
      <c r="F197" s="31" t="n"/>
      <c r="G197" s="31" t="n"/>
    </row>
    <row r="198">
      <c r="A198" s="31" t="n"/>
      <c r="B198" s="31" t="n"/>
      <c r="C198" s="31" t="n"/>
      <c r="D198" s="31" t="n"/>
      <c r="E198" s="31" t="n"/>
      <c r="F198" s="31" t="n"/>
      <c r="G198" s="31" t="n"/>
    </row>
    <row r="199">
      <c r="A199" s="31" t="n"/>
      <c r="B199" s="31" t="n"/>
      <c r="C199" s="31" t="n"/>
      <c r="D199" s="31" t="n"/>
      <c r="E199" s="31" t="n"/>
      <c r="F199" s="31" t="n"/>
      <c r="G199" s="31" t="n"/>
    </row>
    <row r="200">
      <c r="A200" s="31" t="n"/>
      <c r="B200" s="31" t="n"/>
      <c r="C200" s="31" t="n"/>
      <c r="D200" s="31" t="n"/>
      <c r="E200" s="31" t="n"/>
      <c r="F200" s="31" t="n"/>
      <c r="G200" s="31" t="n"/>
    </row>
    <row r="201">
      <c r="A201" s="31" t="n"/>
      <c r="B201" s="31" t="n"/>
      <c r="C201" s="31" t="n"/>
      <c r="D201" s="31" t="n"/>
      <c r="E201" s="31" t="n"/>
      <c r="F201" s="31" t="n"/>
      <c r="G201" s="31" t="n"/>
    </row>
    <row r="202">
      <c r="A202" s="31" t="n"/>
      <c r="B202" s="31" t="n"/>
      <c r="C202" s="31" t="n"/>
      <c r="D202" s="31" t="n"/>
      <c r="E202" s="31" t="n"/>
      <c r="F202" s="31" t="n"/>
      <c r="G202" s="31" t="n"/>
    </row>
    <row r="203">
      <c r="A203" s="31" t="n"/>
      <c r="B203" s="31" t="n"/>
      <c r="C203" s="31" t="n"/>
      <c r="D203" s="31" t="n"/>
      <c r="E203" s="31" t="n"/>
      <c r="F203" s="31" t="n"/>
      <c r="G203" s="31" t="n"/>
    </row>
    <row r="204">
      <c r="A204" s="31" t="n"/>
      <c r="B204" s="31" t="n"/>
      <c r="C204" s="31" t="n"/>
      <c r="D204" s="31" t="n"/>
      <c r="E204" s="31" t="n"/>
      <c r="F204" s="31" t="n"/>
      <c r="G204" s="31" t="n"/>
    </row>
    <row r="205">
      <c r="A205" s="31" t="n"/>
      <c r="B205" s="31" t="n"/>
      <c r="C205" s="31" t="n"/>
      <c r="D205" s="31" t="n"/>
      <c r="E205" s="31" t="n"/>
      <c r="F205" s="31" t="n"/>
      <c r="G205" s="31" t="n"/>
    </row>
    <row r="206">
      <c r="A206" s="31" t="n"/>
      <c r="B206" s="31" t="n"/>
      <c r="C206" s="31" t="n"/>
      <c r="D206" s="31" t="n"/>
      <c r="E206" s="31" t="n"/>
      <c r="F206" s="31" t="n"/>
      <c r="G206" s="31" t="n"/>
    </row>
    <row r="207">
      <c r="A207" s="31" t="n"/>
      <c r="B207" s="31" t="n"/>
      <c r="C207" s="31" t="n"/>
      <c r="D207" s="31" t="n"/>
      <c r="E207" s="31" t="n"/>
      <c r="F207" s="31" t="n"/>
      <c r="G207" s="31" t="n"/>
    </row>
    <row r="208">
      <c r="A208" s="31" t="n"/>
      <c r="B208" s="31" t="n"/>
      <c r="C208" s="31" t="n"/>
      <c r="D208" s="31" t="n"/>
      <c r="E208" s="31" t="n"/>
      <c r="F208" s="31" t="n"/>
      <c r="G208" s="31" t="n"/>
    </row>
    <row r="209">
      <c r="A209" s="31" t="n"/>
      <c r="B209" s="31" t="n"/>
      <c r="C209" s="31" t="n"/>
      <c r="D209" s="31" t="n"/>
      <c r="E209" s="31" t="n"/>
      <c r="F209" s="31" t="n"/>
      <c r="G209" s="31" t="n"/>
    </row>
    <row r="210">
      <c r="A210" s="31" t="n"/>
      <c r="B210" s="31" t="n"/>
      <c r="C210" s="31" t="n"/>
      <c r="D210" s="31" t="n"/>
      <c r="E210" s="31" t="n"/>
      <c r="F210" s="31" t="n"/>
      <c r="G210" s="31" t="n"/>
    </row>
    <row r="211">
      <c r="A211" s="31" t="n"/>
      <c r="B211" s="31" t="n"/>
      <c r="C211" s="31" t="n"/>
      <c r="D211" s="31" t="n"/>
      <c r="E211" s="31" t="n"/>
      <c r="F211" s="31" t="n"/>
      <c r="G211" s="31" t="n"/>
    </row>
    <row r="212">
      <c r="A212" s="31" t="n"/>
      <c r="B212" s="31" t="n"/>
      <c r="C212" s="31" t="n"/>
      <c r="D212" s="31" t="n"/>
      <c r="E212" s="31" t="n"/>
      <c r="F212" s="31" t="n"/>
      <c r="G212" s="31" t="n"/>
    </row>
    <row r="213">
      <c r="A213" s="31" t="n"/>
      <c r="B213" s="31" t="n"/>
      <c r="C213" s="31" t="n"/>
      <c r="D213" s="31" t="n"/>
      <c r="E213" s="31" t="n"/>
      <c r="F213" s="31" t="n"/>
      <c r="G213" s="31" t="n"/>
    </row>
    <row r="214">
      <c r="A214" s="31" t="n"/>
      <c r="B214" s="31" t="n"/>
      <c r="C214" s="31" t="n"/>
      <c r="D214" s="31" t="n"/>
      <c r="E214" s="31" t="n"/>
      <c r="F214" s="31" t="n"/>
      <c r="G214" s="31" t="n"/>
    </row>
    <row r="215">
      <c r="A215" s="31" t="n"/>
      <c r="B215" s="31" t="n"/>
      <c r="C215" s="31" t="n"/>
      <c r="D215" s="31" t="n"/>
      <c r="E215" s="31" t="n"/>
      <c r="F215" s="31" t="n"/>
      <c r="G215" s="31" t="n"/>
    </row>
    <row r="216">
      <c r="A216" s="31" t="n"/>
      <c r="B216" s="31" t="n"/>
      <c r="C216" s="31" t="n"/>
      <c r="D216" s="31" t="n"/>
      <c r="E216" s="31" t="n"/>
      <c r="F216" s="31" t="n"/>
      <c r="G216" s="31" t="n"/>
    </row>
    <row r="217">
      <c r="A217" s="31" t="n"/>
      <c r="B217" s="31" t="n"/>
      <c r="C217" s="31" t="n"/>
      <c r="D217" s="31" t="n"/>
      <c r="E217" s="31" t="n"/>
      <c r="F217" s="31" t="n"/>
      <c r="G217" s="31" t="n"/>
    </row>
    <row r="218">
      <c r="A218" s="31" t="n"/>
      <c r="B218" s="31" t="n"/>
      <c r="C218" s="31" t="n"/>
      <c r="D218" s="31" t="n"/>
      <c r="E218" s="31" t="n"/>
      <c r="F218" s="31" t="n"/>
      <c r="G218" s="31" t="n"/>
    </row>
    <row r="219">
      <c r="A219" s="31" t="n"/>
      <c r="B219" s="31" t="n"/>
      <c r="C219" s="31" t="n"/>
      <c r="D219" s="31" t="n"/>
      <c r="E219" s="31" t="n"/>
      <c r="F219" s="31" t="n"/>
      <c r="G219" s="31" t="n"/>
    </row>
    <row r="220">
      <c r="A220" s="31" t="n"/>
      <c r="B220" s="31" t="n"/>
      <c r="C220" s="31" t="n"/>
      <c r="D220" s="31" t="n"/>
      <c r="E220" s="31" t="n"/>
      <c r="F220" s="31" t="n"/>
      <c r="G220" s="31" t="n"/>
    </row>
    <row r="221">
      <c r="A221" s="31" t="n"/>
      <c r="B221" s="31" t="n"/>
      <c r="C221" s="31" t="n"/>
      <c r="D221" s="31" t="n"/>
      <c r="E221" s="31" t="n"/>
      <c r="F221" s="31" t="n"/>
      <c r="G221" s="31" t="n"/>
    </row>
    <row r="222">
      <c r="A222" s="31" t="n"/>
      <c r="B222" s="31" t="n"/>
      <c r="C222" s="31" t="n"/>
      <c r="D222" s="31" t="n"/>
      <c r="E222" s="31" t="n"/>
      <c r="F222" s="31" t="n"/>
      <c r="G222" s="31" t="n"/>
    </row>
    <row r="223">
      <c r="A223" s="31" t="n"/>
      <c r="B223" s="31" t="n"/>
      <c r="C223" s="31" t="n"/>
      <c r="D223" s="31" t="n"/>
      <c r="E223" s="31" t="n"/>
      <c r="F223" s="31" t="n"/>
      <c r="G223" s="31" t="n"/>
    </row>
    <row r="224">
      <c r="A224" s="31" t="n"/>
      <c r="B224" s="31" t="n"/>
      <c r="C224" s="31" t="n"/>
      <c r="D224" s="31" t="n"/>
      <c r="E224" s="31" t="n"/>
      <c r="F224" s="31" t="n"/>
      <c r="G224" s="31" t="n"/>
    </row>
    <row r="225">
      <c r="A225" s="31" t="n"/>
      <c r="B225" s="31" t="n"/>
      <c r="C225" s="31" t="n"/>
      <c r="D225" s="31" t="n"/>
      <c r="E225" s="31" t="n"/>
      <c r="F225" s="31" t="n"/>
      <c r="G225" s="31" t="n"/>
    </row>
    <row r="226">
      <c r="A226" s="31" t="n"/>
      <c r="B226" s="31" t="n"/>
      <c r="C226" s="31" t="n"/>
      <c r="D226" s="31" t="n"/>
      <c r="E226" s="31" t="n"/>
      <c r="F226" s="31" t="n"/>
      <c r="G226" s="31" t="n"/>
    </row>
    <row r="227">
      <c r="A227" s="31" t="n"/>
      <c r="B227" s="31" t="n"/>
      <c r="C227" s="31" t="n"/>
      <c r="D227" s="31" t="n"/>
      <c r="E227" s="31" t="n"/>
      <c r="F227" s="31" t="n"/>
      <c r="G227" s="31" t="n"/>
    </row>
    <row r="228">
      <c r="A228" s="31" t="n"/>
      <c r="B228" s="31" t="n"/>
      <c r="C228" s="31" t="n"/>
      <c r="D228" s="31" t="n"/>
      <c r="E228" s="31" t="n"/>
      <c r="F228" s="31" t="n"/>
      <c r="G228" s="31" t="n"/>
    </row>
    <row r="229">
      <c r="A229" s="31" t="n"/>
      <c r="B229" s="31" t="n"/>
      <c r="C229" s="31" t="n"/>
      <c r="D229" s="31" t="n"/>
      <c r="E229" s="31" t="n"/>
      <c r="F229" s="31" t="n"/>
      <c r="G229" s="31" t="n"/>
    </row>
    <row r="230">
      <c r="A230" s="31" t="n"/>
      <c r="B230" s="31" t="n"/>
      <c r="C230" s="31" t="n"/>
      <c r="D230" s="31" t="n"/>
      <c r="E230" s="31" t="n"/>
      <c r="F230" s="31" t="n"/>
      <c r="G230" s="31" t="n"/>
    </row>
    <row r="231">
      <c r="A231" s="31" t="n"/>
      <c r="B231" s="31" t="n"/>
      <c r="C231" s="31" t="n"/>
      <c r="D231" s="31" t="n"/>
      <c r="E231" s="31" t="n"/>
      <c r="F231" s="31" t="n"/>
      <c r="G231" s="31" t="n"/>
    </row>
    <row r="232">
      <c r="A232" s="31" t="n"/>
      <c r="B232" s="31" t="n"/>
      <c r="C232" s="31" t="n"/>
      <c r="D232" s="31" t="n"/>
      <c r="E232" s="31" t="n"/>
      <c r="F232" s="31" t="n"/>
      <c r="G232" s="31" t="n"/>
    </row>
    <row r="233">
      <c r="A233" s="31" t="n"/>
      <c r="B233" s="31" t="n"/>
      <c r="C233" s="31" t="n"/>
      <c r="D233" s="31" t="n"/>
      <c r="E233" s="31" t="n"/>
      <c r="F233" s="31" t="n"/>
      <c r="G233" s="31" t="n"/>
    </row>
    <row r="234">
      <c r="A234" s="31" t="n"/>
      <c r="B234" s="31" t="n"/>
      <c r="C234" s="31" t="n"/>
      <c r="D234" s="31" t="n"/>
      <c r="E234" s="31" t="n"/>
      <c r="F234" s="31" t="n"/>
      <c r="G234" s="31" t="n"/>
    </row>
    <row r="235">
      <c r="A235" s="31" t="n"/>
      <c r="B235" s="31" t="n"/>
      <c r="C235" s="31" t="n"/>
      <c r="D235" s="31" t="n"/>
      <c r="E235" s="31" t="n"/>
      <c r="F235" s="31" t="n"/>
      <c r="G235" s="31" t="n"/>
    </row>
    <row r="236">
      <c r="A236" s="31" t="n"/>
      <c r="B236" s="31" t="n"/>
      <c r="C236" s="31" t="n"/>
      <c r="D236" s="31" t="n"/>
      <c r="E236" s="31" t="n"/>
      <c r="F236" s="31" t="n"/>
      <c r="G236" s="31" t="n"/>
    </row>
    <row r="237">
      <c r="A237" s="31" t="n"/>
      <c r="B237" s="31" t="n"/>
      <c r="C237" s="31" t="n"/>
      <c r="D237" s="31" t="n"/>
      <c r="E237" s="31" t="n"/>
      <c r="F237" s="31" t="n"/>
      <c r="G237" s="31" t="n"/>
    </row>
    <row r="238">
      <c r="A238" s="31" t="n"/>
      <c r="B238" s="31" t="n"/>
      <c r="C238" s="31" t="n"/>
      <c r="D238" s="31" t="n"/>
      <c r="E238" s="31" t="n"/>
      <c r="F238" s="31" t="n"/>
      <c r="G238" s="31" t="n"/>
    </row>
    <row r="239">
      <c r="A239" s="31" t="n"/>
      <c r="B239" s="31" t="n"/>
      <c r="C239" s="31" t="n"/>
      <c r="D239" s="31" t="n"/>
      <c r="E239" s="31" t="n"/>
      <c r="F239" s="31" t="n"/>
      <c r="G239" s="31" t="n"/>
    </row>
    <row r="240">
      <c r="A240" s="31" t="n"/>
      <c r="B240" s="31" t="n"/>
      <c r="C240" s="31" t="n"/>
      <c r="D240" s="31" t="n"/>
      <c r="E240" s="31" t="n"/>
      <c r="F240" s="31" t="n"/>
      <c r="G240" s="31" t="n"/>
    </row>
    <row r="241">
      <c r="A241" s="31" t="n"/>
      <c r="B241" s="31" t="n"/>
      <c r="C241" s="31" t="n"/>
      <c r="D241" s="31" t="n"/>
      <c r="E241" s="31" t="n"/>
      <c r="F241" s="31" t="n"/>
      <c r="G241" s="31" t="n"/>
    </row>
    <row r="242">
      <c r="A242" s="31" t="n"/>
      <c r="B242" s="31" t="n"/>
      <c r="C242" s="31" t="n"/>
      <c r="D242" s="31" t="n"/>
      <c r="E242" s="31" t="n"/>
      <c r="F242" s="31" t="n"/>
      <c r="G242" s="31" t="n"/>
    </row>
    <row r="243">
      <c r="A243" s="31" t="n"/>
      <c r="B243" s="31" t="n"/>
      <c r="C243" s="31" t="n"/>
      <c r="D243" s="31" t="n"/>
      <c r="E243" s="31" t="n"/>
      <c r="F243" s="31" t="n"/>
      <c r="G243" s="31" t="n"/>
    </row>
    <row r="244">
      <c r="A244" s="31" t="n"/>
      <c r="B244" s="31" t="n"/>
      <c r="C244" s="31" t="n"/>
      <c r="D244" s="31" t="n"/>
      <c r="E244" s="31" t="n"/>
      <c r="F244" s="31" t="n"/>
      <c r="G244" s="31" t="n"/>
    </row>
    <row r="245">
      <c r="A245" s="31" t="n"/>
      <c r="B245" s="31" t="n"/>
      <c r="C245" s="31" t="n"/>
      <c r="D245" s="31" t="n"/>
      <c r="E245" s="31" t="n"/>
      <c r="F245" s="31" t="n"/>
      <c r="G245" s="31" t="n"/>
    </row>
    <row r="246">
      <c r="A246" s="31" t="n"/>
      <c r="B246" s="31" t="n"/>
      <c r="C246" s="31" t="n"/>
      <c r="D246" s="31" t="n"/>
      <c r="E246" s="31" t="n"/>
      <c r="F246" s="31" t="n"/>
      <c r="G246" s="31" t="n"/>
    </row>
    <row r="247">
      <c r="A247" s="31" t="n"/>
      <c r="B247" s="31" t="n"/>
      <c r="C247" s="31" t="n"/>
      <c r="D247" s="31" t="n"/>
      <c r="E247" s="31" t="n"/>
      <c r="F247" s="31" t="n"/>
      <c r="G247" s="31" t="n"/>
    </row>
    <row r="248">
      <c r="A248" s="31" t="n"/>
      <c r="B248" s="31" t="n"/>
      <c r="C248" s="31" t="n"/>
      <c r="D248" s="31" t="n"/>
      <c r="E248" s="31" t="n"/>
      <c r="F248" s="31" t="n"/>
      <c r="G248" s="31" t="n"/>
    </row>
    <row r="249">
      <c r="A249" s="31" t="n"/>
      <c r="B249" s="31" t="n"/>
      <c r="C249" s="31" t="n"/>
      <c r="D249" s="31" t="n"/>
      <c r="E249" s="31" t="n"/>
      <c r="F249" s="31" t="n"/>
      <c r="G249" s="31" t="n"/>
    </row>
    <row r="250">
      <c r="A250" s="31" t="n"/>
      <c r="B250" s="31" t="n"/>
      <c r="C250" s="31" t="n"/>
      <c r="D250" s="31" t="n"/>
      <c r="E250" s="31" t="n"/>
      <c r="F250" s="31" t="n"/>
      <c r="G250" s="31" t="n"/>
    </row>
    <row r="251">
      <c r="A251" s="31" t="n"/>
      <c r="B251" s="31" t="n"/>
      <c r="C251" s="31" t="n"/>
      <c r="D251" s="31" t="n"/>
      <c r="E251" s="31" t="n"/>
      <c r="F251" s="31" t="n"/>
      <c r="G251" s="31" t="n"/>
    </row>
    <row r="252">
      <c r="A252" s="31" t="n"/>
      <c r="B252" s="31" t="n"/>
      <c r="C252" s="31" t="n"/>
      <c r="D252" s="31" t="n"/>
      <c r="E252" s="31" t="n"/>
      <c r="F252" s="31" t="n"/>
      <c r="G252" s="31" t="n"/>
    </row>
    <row r="253">
      <c r="A253" s="31" t="n"/>
      <c r="B253" s="31" t="n"/>
      <c r="C253" s="31" t="n"/>
      <c r="D253" s="31" t="n"/>
      <c r="E253" s="31" t="n"/>
      <c r="F253" s="31" t="n"/>
      <c r="G253" s="31" t="n"/>
    </row>
    <row r="254">
      <c r="A254" s="31" t="n"/>
      <c r="B254" s="31" t="n"/>
      <c r="C254" s="31" t="n"/>
      <c r="D254" s="31" t="n"/>
      <c r="E254" s="31" t="n"/>
      <c r="F254" s="31" t="n"/>
      <c r="G254" s="31" t="n"/>
    </row>
    <row r="255">
      <c r="A255" s="31" t="n"/>
      <c r="B255" s="31" t="n"/>
      <c r="C255" s="31" t="n"/>
      <c r="D255" s="31" t="n"/>
      <c r="E255" s="31" t="n"/>
      <c r="F255" s="31" t="n"/>
      <c r="G255" s="31" t="n"/>
    </row>
    <row r="256">
      <c r="A256" s="31" t="n"/>
      <c r="B256" s="31" t="n"/>
      <c r="C256" s="31" t="n"/>
      <c r="D256" s="31" t="n"/>
      <c r="E256" s="31" t="n"/>
      <c r="F256" s="31" t="n"/>
      <c r="G256" s="31" t="n"/>
    </row>
    <row r="257">
      <c r="A257" s="31" t="n"/>
      <c r="B257" s="31" t="n"/>
      <c r="C257" s="31" t="n"/>
      <c r="D257" s="31" t="n"/>
      <c r="E257" s="31" t="n"/>
      <c r="F257" s="31" t="n"/>
      <c r="G257" s="31" t="n"/>
    </row>
    <row r="258">
      <c r="A258" s="31" t="n"/>
      <c r="B258" s="31" t="n"/>
      <c r="C258" s="31" t="n"/>
      <c r="D258" s="31" t="n"/>
      <c r="E258" s="31" t="n"/>
      <c r="F258" s="31" t="n"/>
      <c r="G258" s="31" t="n"/>
    </row>
    <row r="259">
      <c r="A259" s="31" t="n"/>
      <c r="B259" s="31" t="n"/>
      <c r="C259" s="31" t="n"/>
      <c r="D259" s="31" t="n"/>
      <c r="E259" s="31" t="n"/>
      <c r="F259" s="31" t="n"/>
      <c r="G259" s="31" t="n"/>
    </row>
    <row r="260">
      <c r="A260" s="31" t="n"/>
      <c r="B260" s="31" t="n"/>
      <c r="C260" s="31" t="n"/>
      <c r="D260" s="31" t="n"/>
      <c r="E260" s="31" t="n"/>
      <c r="F260" s="31" t="n"/>
      <c r="G260" s="31" t="n"/>
    </row>
    <row r="261">
      <c r="A261" s="31" t="n"/>
      <c r="B261" s="31" t="n"/>
      <c r="C261" s="31" t="n"/>
      <c r="D261" s="31" t="n"/>
      <c r="E261" s="31" t="n"/>
      <c r="F261" s="31" t="n"/>
      <c r="G261" s="31" t="n"/>
    </row>
    <row r="262">
      <c r="A262" s="31" t="n"/>
      <c r="B262" s="31" t="n"/>
      <c r="C262" s="31" t="n"/>
      <c r="D262" s="31" t="n"/>
      <c r="E262" s="31" t="n"/>
      <c r="F262" s="31" t="n"/>
      <c r="G262" s="31" t="n"/>
    </row>
    <row r="263">
      <c r="A263" s="31" t="n"/>
      <c r="B263" s="31" t="n"/>
      <c r="C263" s="31" t="n"/>
      <c r="D263" s="31" t="n"/>
      <c r="E263" s="31" t="n"/>
      <c r="F263" s="31" t="n"/>
      <c r="G263" s="31" t="n"/>
    </row>
    <row r="264">
      <c r="A264" s="31" t="n"/>
      <c r="B264" s="31" t="n"/>
      <c r="C264" s="31" t="n"/>
      <c r="D264" s="31" t="n"/>
      <c r="E264" s="31" t="n"/>
      <c r="F264" s="31" t="n"/>
      <c r="G264" s="31" t="n"/>
    </row>
    <row r="265">
      <c r="A265" s="31" t="n"/>
      <c r="B265" s="31" t="n"/>
      <c r="C265" s="31" t="n"/>
      <c r="D265" s="31" t="n"/>
      <c r="E265" s="31" t="n"/>
      <c r="F265" s="31" t="n"/>
      <c r="G265" s="31" t="n"/>
    </row>
    <row r="266">
      <c r="A266" s="31" t="n"/>
      <c r="B266" s="31" t="n"/>
      <c r="C266" s="31" t="n"/>
      <c r="D266" s="31" t="n"/>
      <c r="E266" s="31" t="n"/>
      <c r="F266" s="31" t="n"/>
      <c r="G266" s="31" t="n"/>
    </row>
    <row r="267">
      <c r="A267" s="31" t="n"/>
      <c r="B267" s="31" t="n"/>
      <c r="C267" s="31" t="n"/>
      <c r="D267" s="31" t="n"/>
      <c r="E267" s="31" t="n"/>
      <c r="F267" s="31" t="n"/>
      <c r="G267" s="31" t="n"/>
    </row>
    <row r="268">
      <c r="A268" s="31" t="n"/>
      <c r="B268" s="31" t="n"/>
      <c r="C268" s="31" t="n"/>
      <c r="D268" s="31" t="n"/>
      <c r="E268" s="31" t="n"/>
      <c r="F268" s="31" t="n"/>
      <c r="G268" s="31" t="n"/>
    </row>
    <row r="269">
      <c r="A269" s="31" t="n"/>
      <c r="B269" s="31" t="n"/>
      <c r="C269" s="31" t="n"/>
      <c r="D269" s="31" t="n"/>
      <c r="E269" s="31" t="n"/>
      <c r="F269" s="31" t="n"/>
      <c r="G269" s="31" t="n"/>
    </row>
    <row r="270">
      <c r="A270" s="31" t="n"/>
      <c r="B270" s="31" t="n"/>
      <c r="C270" s="31" t="n"/>
      <c r="D270" s="31" t="n"/>
      <c r="E270" s="31" t="n"/>
      <c r="F270" s="31" t="n"/>
      <c r="G270" s="31" t="n"/>
    </row>
    <row r="271">
      <c r="A271" s="31" t="n"/>
      <c r="B271" s="31" t="n"/>
      <c r="C271" s="31" t="n"/>
      <c r="D271" s="31" t="n"/>
      <c r="E271" s="31" t="n"/>
      <c r="F271" s="31" t="n"/>
      <c r="G271" s="31" t="n"/>
    </row>
    <row r="272">
      <c r="A272" s="31" t="n"/>
      <c r="B272" s="31" t="n"/>
      <c r="C272" s="31" t="n"/>
      <c r="D272" s="31" t="n"/>
      <c r="E272" s="31" t="n"/>
      <c r="F272" s="31" t="n"/>
      <c r="G272" s="31" t="n"/>
    </row>
    <row r="273">
      <c r="A273" s="31" t="n"/>
      <c r="B273" s="31" t="n"/>
      <c r="C273" s="31" t="n"/>
      <c r="D273" s="31" t="n"/>
      <c r="E273" s="31" t="n"/>
      <c r="F273" s="31" t="n"/>
      <c r="G273" s="31" t="n"/>
    </row>
    <row r="274">
      <c r="A274" s="31" t="n"/>
      <c r="B274" s="31" t="n"/>
      <c r="C274" s="31" t="n"/>
      <c r="D274" s="31" t="n"/>
      <c r="E274" s="31" t="n"/>
      <c r="F274" s="31" t="n"/>
      <c r="G274" s="31" t="n"/>
    </row>
    <row r="275">
      <c r="A275" s="31" t="n"/>
      <c r="B275" s="31" t="n"/>
      <c r="C275" s="31" t="n"/>
      <c r="D275" s="31" t="n"/>
      <c r="E275" s="31" t="n"/>
      <c r="F275" s="31" t="n"/>
      <c r="G275" s="31" t="n"/>
    </row>
    <row r="276">
      <c r="A276" s="31" t="n"/>
      <c r="B276" s="31" t="n"/>
      <c r="C276" s="31" t="n"/>
      <c r="D276" s="31" t="n"/>
      <c r="E276" s="31" t="n"/>
      <c r="F276" s="31" t="n"/>
      <c r="G276" s="31" t="n"/>
    </row>
    <row r="277">
      <c r="A277" s="31" t="n"/>
      <c r="B277" s="31" t="n"/>
      <c r="C277" s="31" t="n"/>
      <c r="D277" s="31" t="n"/>
      <c r="E277" s="31" t="n"/>
      <c r="F277" s="31" t="n"/>
      <c r="G277" s="31" t="n"/>
    </row>
    <row r="278">
      <c r="A278" s="31" t="n"/>
      <c r="B278" s="31" t="n"/>
      <c r="C278" s="31" t="n"/>
      <c r="D278" s="31" t="n"/>
      <c r="E278" s="31" t="n"/>
      <c r="F278" s="31" t="n"/>
      <c r="G278" s="31" t="n"/>
    </row>
    <row r="279">
      <c r="A279" s="31" t="n"/>
      <c r="B279" s="31" t="n"/>
      <c r="C279" s="31" t="n"/>
      <c r="D279" s="31" t="n"/>
      <c r="E279" s="31" t="n"/>
      <c r="F279" s="31" t="n"/>
      <c r="G279" s="31" t="n"/>
    </row>
    <row r="280">
      <c r="A280" s="31" t="n"/>
      <c r="B280" s="31" t="n"/>
      <c r="C280" s="31" t="n"/>
      <c r="D280" s="31" t="n"/>
      <c r="E280" s="31" t="n"/>
      <c r="F280" s="31" t="n"/>
      <c r="G280" s="31" t="n"/>
    </row>
    <row r="281">
      <c r="A281" s="31" t="n"/>
      <c r="B281" s="31" t="n"/>
      <c r="C281" s="31" t="n"/>
      <c r="D281" s="31" t="n"/>
      <c r="E281" s="31" t="n"/>
      <c r="F281" s="31" t="n"/>
      <c r="G281" s="31" t="n"/>
    </row>
    <row r="282">
      <c r="A282" s="31" t="n"/>
      <c r="B282" s="31" t="n"/>
      <c r="C282" s="31" t="n"/>
      <c r="D282" s="31" t="n"/>
      <c r="E282" s="31" t="n"/>
      <c r="F282" s="31" t="n"/>
      <c r="G282" s="31" t="n"/>
    </row>
    <row r="283">
      <c r="A283" s="31" t="n"/>
      <c r="B283" s="31" t="n"/>
      <c r="C283" s="31" t="n"/>
      <c r="D283" s="31" t="n"/>
      <c r="E283" s="31" t="n"/>
      <c r="F283" s="31" t="n"/>
      <c r="G283" s="31" t="n"/>
    </row>
    <row r="284">
      <c r="A284" s="31" t="n"/>
      <c r="B284" s="31" t="n"/>
      <c r="C284" s="31" t="n"/>
      <c r="D284" s="31" t="n"/>
      <c r="E284" s="31" t="n"/>
      <c r="F284" s="31" t="n"/>
      <c r="G284" s="31" t="n"/>
    </row>
    <row r="285">
      <c r="A285" s="31" t="n"/>
      <c r="B285" s="31" t="n"/>
      <c r="C285" s="31" t="n"/>
      <c r="D285" s="31" t="n"/>
      <c r="E285" s="31" t="n"/>
      <c r="F285" s="31" t="n"/>
      <c r="G285" s="31" t="n"/>
    </row>
    <row r="286">
      <c r="A286" s="31" t="n"/>
      <c r="B286" s="31" t="n"/>
      <c r="C286" s="31" t="n"/>
      <c r="D286" s="31" t="n"/>
      <c r="E286" s="31" t="n"/>
      <c r="F286" s="31" t="n"/>
      <c r="G286" s="31" t="n"/>
    </row>
    <row r="287">
      <c r="A287" s="31" t="n"/>
      <c r="B287" s="31" t="n"/>
      <c r="C287" s="31" t="n"/>
      <c r="D287" s="31" t="n"/>
      <c r="E287" s="31" t="n"/>
      <c r="F287" s="31" t="n"/>
      <c r="G287" s="31" t="n"/>
    </row>
    <row r="288">
      <c r="A288" s="31" t="n"/>
      <c r="B288" s="31" t="n"/>
      <c r="C288" s="31" t="n"/>
      <c r="D288" s="31" t="n"/>
      <c r="E288" s="31" t="n"/>
      <c r="F288" s="31" t="n"/>
      <c r="G288" s="31" t="n"/>
    </row>
    <row r="289">
      <c r="A289" s="31" t="n"/>
      <c r="B289" s="31" t="n"/>
      <c r="C289" s="31" t="n"/>
      <c r="D289" s="31" t="n"/>
      <c r="E289" s="31" t="n"/>
      <c r="F289" s="31" t="n"/>
      <c r="G289" s="31" t="n"/>
    </row>
    <row r="290">
      <c r="A290" s="31" t="n"/>
      <c r="B290" s="31" t="n"/>
      <c r="C290" s="31" t="n"/>
      <c r="D290" s="31" t="n"/>
      <c r="E290" s="31" t="n"/>
      <c r="F290" s="31" t="n"/>
      <c r="G290" s="31" t="n"/>
    </row>
    <row r="291">
      <c r="A291" s="31" t="n"/>
      <c r="B291" s="31" t="n"/>
      <c r="C291" s="31" t="n"/>
      <c r="D291" s="31" t="n"/>
      <c r="E291" s="31" t="n"/>
      <c r="F291" s="31" t="n"/>
      <c r="G291" s="31" t="n"/>
    </row>
    <row r="292">
      <c r="A292" s="31" t="n"/>
      <c r="B292" s="31" t="n"/>
      <c r="C292" s="31" t="n"/>
      <c r="D292" s="31" t="n"/>
      <c r="E292" s="31" t="n"/>
      <c r="F292" s="31" t="n"/>
      <c r="G292" s="31" t="n"/>
    </row>
    <row r="293">
      <c r="A293" s="31" t="n"/>
      <c r="B293" s="31" t="n"/>
      <c r="C293" s="31" t="n"/>
      <c r="D293" s="31" t="n"/>
      <c r="E293" s="31" t="n"/>
      <c r="F293" s="31" t="n"/>
      <c r="G293" s="31" t="n"/>
    </row>
    <row r="294">
      <c r="A294" s="31" t="n"/>
      <c r="B294" s="31" t="n"/>
      <c r="C294" s="31" t="n"/>
      <c r="D294" s="31" t="n"/>
      <c r="E294" s="31" t="n"/>
      <c r="F294" s="31" t="n"/>
      <c r="G294" s="31" t="n"/>
    </row>
    <row r="295">
      <c r="A295" s="31" t="n"/>
      <c r="B295" s="31" t="n"/>
      <c r="C295" s="31" t="n"/>
      <c r="D295" s="31" t="n"/>
      <c r="E295" s="31" t="n"/>
      <c r="F295" s="31" t="n"/>
      <c r="G295" s="31" t="n"/>
    </row>
    <row r="296">
      <c r="A296" s="31" t="n"/>
      <c r="B296" s="31" t="n"/>
      <c r="C296" s="31" t="n"/>
      <c r="D296" s="31" t="n"/>
      <c r="E296" s="31" t="n"/>
      <c r="F296" s="31" t="n"/>
      <c r="G296" s="31" t="n"/>
    </row>
    <row r="297">
      <c r="A297" s="31" t="n"/>
      <c r="B297" s="31" t="n"/>
      <c r="C297" s="31" t="n"/>
      <c r="D297" s="31" t="n"/>
      <c r="E297" s="31" t="n"/>
      <c r="F297" s="31" t="n"/>
      <c r="G297" s="31" t="n"/>
    </row>
    <row r="298">
      <c r="A298" s="31" t="n"/>
      <c r="B298" s="31" t="n"/>
      <c r="C298" s="31" t="n"/>
      <c r="D298" s="31" t="n"/>
      <c r="E298" s="31" t="n"/>
      <c r="F298" s="31" t="n"/>
      <c r="G298" s="31" t="n"/>
    </row>
    <row r="299">
      <c r="A299" s="31" t="n"/>
      <c r="B299" s="31" t="n"/>
      <c r="C299" s="31" t="n"/>
      <c r="D299" s="31" t="n"/>
      <c r="E299" s="31" t="n"/>
      <c r="F299" s="31" t="n"/>
      <c r="G299" s="31" t="n"/>
    </row>
  </sheetData>
  <dataValidations count="1">
    <dataValidation sqref="B2:B299" showDropDown="0" showInputMessage="0" showErrorMessage="0" allowBlank="1" type="list">
      <formula1>Lists!$I$2:$I$5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20" customWidth="1" min="4" max="4"/>
    <col width="10" customWidth="1" min="5" max="5"/>
    <col width="36" customWidth="1" min="6" max="6"/>
    <col width="36" customWidth="1" min="7" max="7"/>
  </cols>
  <sheetData>
    <row r="1">
      <c r="A1" s="29" t="inlineStr">
        <is>
          <t>Field</t>
        </is>
      </c>
      <c r="B1" s="29" t="inlineStr">
        <is>
          <t>Tab</t>
        </is>
      </c>
      <c r="C1" s="29" t="inlineStr">
        <is>
          <t>Source</t>
        </is>
      </c>
      <c r="D1" s="29" t="inlineStr">
        <is>
          <t>Who enters it</t>
        </is>
      </c>
      <c r="E1" s="29" t="inlineStr">
        <is>
          <t>Required?</t>
        </is>
      </c>
      <c r="F1" s="29" t="inlineStr">
        <is>
          <t>Where it shows on the site</t>
        </is>
      </c>
      <c r="G1" s="29" t="inlineStr">
        <is>
          <t>Format / example</t>
        </is>
      </c>
    </row>
    <row r="2">
      <c r="A2" s="32" t="inlineStr">
        <is>
          <t>Stone ID</t>
        </is>
      </c>
      <c r="B2" s="33" t="inlineStr">
        <is>
          <t>Stones</t>
        </is>
      </c>
      <c r="C2" s="33" t="inlineStr">
        <is>
          <t>Printed on NFC tag</t>
        </is>
      </c>
      <c r="D2" s="33" t="inlineStr">
        <is>
          <t>Team</t>
        </is>
      </c>
      <c r="E2" s="33" t="inlineStr">
        <is>
          <t>Yes</t>
        </is>
      </c>
      <c r="F2" s="33" t="inlineStr">
        <is>
          <t>URL /diamond/{id}; every tab's join key</t>
        </is>
      </c>
      <c r="G2" s="33" t="inlineStr">
        <is>
          <t>Three digits, text: 001</t>
        </is>
      </c>
    </row>
    <row r="3">
      <c r="A3" s="32" t="inlineStr">
        <is>
          <t>NFC tag URL</t>
        </is>
      </c>
      <c r="B3" s="33" t="inlineStr">
        <is>
          <t>Stones</t>
        </is>
      </c>
      <c r="C3" s="33" t="inlineStr">
        <is>
          <t>Auto — write this to the tag</t>
        </is>
      </c>
      <c r="D3" s="33" t="inlineStr">
        <is>
          <t>Formula</t>
        </is>
      </c>
      <c r="E3" s="33" t="inlineStr">
        <is>
          <t>Auto</t>
        </is>
      </c>
      <c r="F3" s="33" t="inlineStr">
        <is>
          <t>Encoded onto the physical NFC tag</t>
        </is>
      </c>
      <c r="G3" s="33" t="inlineStr">
        <is>
          <t>Auto</t>
        </is>
      </c>
    </row>
    <row r="4">
      <c r="A4" s="32" t="inlineStr">
        <is>
          <t>Publish status</t>
        </is>
      </c>
      <c r="B4" s="33" t="inlineStr">
        <is>
          <t>Stones</t>
        </is>
      </c>
      <c r="C4" s="33" t="inlineStr">
        <is>
          <t>Team</t>
        </is>
      </c>
      <c r="D4" s="33" t="inlineStr">
        <is>
          <t>Team</t>
        </is>
      </c>
      <c r="E4" s="33" t="inlineStr">
        <is>
          <t>Yes</t>
        </is>
      </c>
      <c r="F4" s="33" t="inlineStr">
        <is>
          <t>Only 'Live' rows appear on the site</t>
        </is>
      </c>
      <c r="G4" s="33" t="inlineStr">
        <is>
          <t>Draft / Ready to publish / Live</t>
        </is>
      </c>
    </row>
    <row r="5">
      <c r="A5" s="32" t="inlineStr">
        <is>
          <t>Display name</t>
        </is>
      </c>
      <c r="B5" s="33" t="inlineStr">
        <is>
          <t>Stones</t>
        </is>
      </c>
      <c r="C5" s="33" t="inlineStr">
        <is>
          <t>Signet / team (optional)</t>
        </is>
      </c>
      <c r="D5" s="33" t="inlineStr">
        <is>
          <t>Signet / team</t>
        </is>
      </c>
      <c r="E5" s="33" t="inlineStr">
        <is>
          <t>No</t>
        </is>
      </c>
      <c r="F5" s="33" t="inlineStr">
        <is>
          <t>Not shown today; reserved for share card</t>
        </is>
      </c>
      <c r="G5" s="33" t="inlineStr">
        <is>
          <t>The Meridian</t>
        </is>
      </c>
    </row>
    <row r="6">
      <c r="A6" s="32" t="inlineStr">
        <is>
          <t>Shape</t>
        </is>
      </c>
      <c r="B6" s="33" t="inlineStr">
        <is>
          <t>Stones</t>
        </is>
      </c>
      <c r="C6" s="33" t="inlineStr">
        <is>
          <t>GIA report</t>
        </is>
      </c>
      <c r="D6" s="33" t="inlineStr">
        <is>
          <t>Data entry</t>
        </is>
      </c>
      <c r="E6" s="33" t="inlineStr">
        <is>
          <t>Yes</t>
        </is>
      </c>
      <c r="F6" s="33" t="inlineStr">
        <is>
          <t>4Cs panel (shortened: 'Round')</t>
        </is>
      </c>
      <c r="G6" s="33" t="inlineStr">
        <is>
          <t>Pick from list</t>
        </is>
      </c>
    </row>
    <row r="7">
      <c r="A7" s="32" t="inlineStr">
        <is>
          <t>Carat</t>
        </is>
      </c>
      <c r="B7" s="33" t="inlineStr">
        <is>
          <t>Stones</t>
        </is>
      </c>
      <c r="C7" s="33" t="inlineStr">
        <is>
          <t>GIA report</t>
        </is>
      </c>
      <c r="D7" s="33" t="inlineStr">
        <is>
          <t>Data entry</t>
        </is>
      </c>
      <c r="E7" s="33" t="inlineStr">
        <is>
          <t>Yes</t>
        </is>
      </c>
      <c r="F7" s="33" t="inlineStr">
        <is>
          <t>4Cs panel</t>
        </is>
      </c>
      <c r="G7" s="33" t="inlineStr">
        <is>
          <t>1.52 (number)</t>
        </is>
      </c>
    </row>
    <row r="8">
      <c r="A8" s="32" t="inlineStr">
        <is>
          <t>Cut</t>
        </is>
      </c>
      <c r="B8" s="33" t="inlineStr">
        <is>
          <t>Stones</t>
        </is>
      </c>
      <c r="C8" s="33" t="inlineStr">
        <is>
          <t>GIA report</t>
        </is>
      </c>
      <c r="D8" s="33" t="inlineStr">
        <is>
          <t>Data entry</t>
        </is>
      </c>
      <c r="E8" s="33" t="inlineStr">
        <is>
          <t>Yes</t>
        </is>
      </c>
      <c r="F8" s="33" t="inlineStr">
        <is>
          <t>4Cs panel (abbreviated: EX, VG…)</t>
        </is>
      </c>
      <c r="G8" s="33" t="inlineStr">
        <is>
          <t>Pick from list</t>
        </is>
      </c>
    </row>
    <row r="9">
      <c r="A9" s="32" t="inlineStr">
        <is>
          <t>Colour</t>
        </is>
      </c>
      <c r="B9" s="33" t="inlineStr">
        <is>
          <t>Stones</t>
        </is>
      </c>
      <c r="C9" s="33" t="inlineStr">
        <is>
          <t>GIA report</t>
        </is>
      </c>
      <c r="D9" s="33" t="inlineStr">
        <is>
          <t>Data entry</t>
        </is>
      </c>
      <c r="E9" s="33" t="inlineStr">
        <is>
          <t>Yes</t>
        </is>
      </c>
      <c r="F9" s="33" t="inlineStr">
        <is>
          <t>4Cs panel</t>
        </is>
      </c>
      <c r="G9" s="33" t="inlineStr">
        <is>
          <t>Single letter D–M</t>
        </is>
      </c>
    </row>
    <row r="10">
      <c r="A10" s="32" t="inlineStr">
        <is>
          <t>Clarity</t>
        </is>
      </c>
      <c r="B10" s="33" t="inlineStr">
        <is>
          <t>Stones</t>
        </is>
      </c>
      <c r="C10" s="33" t="inlineStr">
        <is>
          <t>GIA report</t>
        </is>
      </c>
      <c r="D10" s="33" t="inlineStr">
        <is>
          <t>Data entry</t>
        </is>
      </c>
      <c r="E10" s="33" t="inlineStr">
        <is>
          <t>Yes</t>
        </is>
      </c>
      <c r="F10" s="33" t="inlineStr">
        <is>
          <t>4Cs panel</t>
        </is>
      </c>
      <c r="G10" s="33" t="inlineStr">
        <is>
          <t>Pick from list</t>
        </is>
      </c>
    </row>
    <row r="11">
      <c r="A11" s="32" t="inlineStr">
        <is>
          <t>Clarity characteristics</t>
        </is>
      </c>
      <c r="B11" s="33" t="inlineStr">
        <is>
          <t>Stones</t>
        </is>
      </c>
      <c r="C11" s="33" t="inlineStr">
        <is>
          <t>GIA report (comma-separated)</t>
        </is>
      </c>
      <c r="D11" s="33" t="inlineStr">
        <is>
          <t>Data entry</t>
        </is>
      </c>
      <c r="E11" s="33" t="inlineStr">
        <is>
          <t>No</t>
        </is>
      </c>
      <c r="F11" s="33" t="inlineStr">
        <is>
          <t>Pills under the Inclusions plot</t>
        </is>
      </c>
      <c r="G11" s="33" t="inlineStr">
        <is>
          <t>Feather, Crystal</t>
        </is>
      </c>
    </row>
    <row r="12">
      <c r="A12" s="32" t="inlineStr">
        <is>
          <t>Polish</t>
        </is>
      </c>
      <c r="B12" s="33" t="inlineStr">
        <is>
          <t>Stones</t>
        </is>
      </c>
      <c r="C12" s="33" t="inlineStr">
        <is>
          <t>GIA report</t>
        </is>
      </c>
      <c r="D12" s="33" t="inlineStr">
        <is>
          <t>Data entry</t>
        </is>
      </c>
      <c r="E12" s="33" t="inlineStr">
        <is>
          <t>No</t>
        </is>
      </c>
      <c r="F12" s="33" t="inlineStr">
        <is>
          <t>Details / GIA section</t>
        </is>
      </c>
      <c r="G12" s="33" t="inlineStr">
        <is>
          <t>Pick from list</t>
        </is>
      </c>
    </row>
    <row r="13">
      <c r="A13" s="32" t="inlineStr">
        <is>
          <t>Symmetry</t>
        </is>
      </c>
      <c r="B13" s="33" t="inlineStr">
        <is>
          <t>Stones</t>
        </is>
      </c>
      <c r="C13" s="33" t="inlineStr">
        <is>
          <t>GIA report</t>
        </is>
      </c>
      <c r="D13" s="33" t="inlineStr">
        <is>
          <t>Data entry</t>
        </is>
      </c>
      <c r="E13" s="33" t="inlineStr">
        <is>
          <t>No</t>
        </is>
      </c>
      <c r="F13" s="33" t="inlineStr">
        <is>
          <t>Details / GIA section</t>
        </is>
      </c>
      <c r="G13" s="33" t="inlineStr">
        <is>
          <t>Pick from list</t>
        </is>
      </c>
    </row>
    <row r="14">
      <c r="A14" s="32" t="inlineStr">
        <is>
          <t>Fluorescence</t>
        </is>
      </c>
      <c r="B14" s="33" t="inlineStr">
        <is>
          <t>Stones</t>
        </is>
      </c>
      <c r="C14" s="33" t="inlineStr">
        <is>
          <t>GIA report</t>
        </is>
      </c>
      <c r="D14" s="33" t="inlineStr">
        <is>
          <t>Data entry</t>
        </is>
      </c>
      <c r="E14" s="33" t="inlineStr">
        <is>
          <t>No</t>
        </is>
      </c>
      <c r="F14" s="33" t="inlineStr">
        <is>
          <t>Details / GIA section</t>
        </is>
      </c>
      <c r="G14" s="33" t="inlineStr">
        <is>
          <t>Pick from list</t>
        </is>
      </c>
    </row>
    <row r="15">
      <c r="A15" s="32" t="inlineStr">
        <is>
          <t>Measurements (mm)</t>
        </is>
      </c>
      <c r="B15" s="33" t="inlineStr">
        <is>
          <t>Stones</t>
        </is>
      </c>
      <c r="C15" s="33" t="inlineStr">
        <is>
          <t>GIA report</t>
        </is>
      </c>
      <c r="D15" s="33" t="inlineStr">
        <is>
          <t>Data entry</t>
        </is>
      </c>
      <c r="E15" s="33" t="inlineStr">
        <is>
          <t>No</t>
        </is>
      </c>
      <c r="F15" s="33" t="inlineStr">
        <is>
          <t>Details / GIA section</t>
        </is>
      </c>
      <c r="G15" s="33" t="inlineStr">
        <is>
          <t>7.35 × 7.38 × 4.52</t>
        </is>
      </c>
    </row>
    <row r="16">
      <c r="A16" s="32" t="inlineStr">
        <is>
          <t>Table %</t>
        </is>
      </c>
      <c r="B16" s="33" t="inlineStr">
        <is>
          <t>Stones</t>
        </is>
      </c>
      <c r="C16" s="33" t="inlineStr">
        <is>
          <t>GIA report</t>
        </is>
      </c>
      <c r="D16" s="33" t="inlineStr">
        <is>
          <t>Data entry</t>
        </is>
      </c>
      <c r="E16" s="33" t="inlineStr">
        <is>
          <t>No</t>
        </is>
      </c>
      <c r="F16" s="33" t="inlineStr">
        <is>
          <t>Details / GIA section</t>
        </is>
      </c>
      <c r="G16" s="33" t="inlineStr">
        <is>
          <t>58%</t>
        </is>
      </c>
    </row>
    <row r="17">
      <c r="A17" s="32" t="inlineStr">
        <is>
          <t>Depth %</t>
        </is>
      </c>
      <c r="B17" s="33" t="inlineStr">
        <is>
          <t>Stones</t>
        </is>
      </c>
      <c r="C17" s="33" t="inlineStr">
        <is>
          <t>GIA report</t>
        </is>
      </c>
      <c r="D17" s="33" t="inlineStr">
        <is>
          <t>Data entry</t>
        </is>
      </c>
      <c r="E17" s="33" t="inlineStr">
        <is>
          <t>No</t>
        </is>
      </c>
      <c r="F17" s="33" t="inlineStr">
        <is>
          <t>Details / GIA section</t>
        </is>
      </c>
      <c r="G17" s="33" t="inlineStr">
        <is>
          <t>61.8%</t>
        </is>
      </c>
    </row>
    <row r="18">
      <c r="A18" s="32" t="inlineStr">
        <is>
          <t>Description</t>
        </is>
      </c>
      <c r="B18" s="33" t="inlineStr">
        <is>
          <t>Stones</t>
        </is>
      </c>
      <c r="C18" s="33" t="inlineStr">
        <is>
          <t>Copywriter</t>
        </is>
      </c>
      <c r="D18" s="33" t="inlineStr">
        <is>
          <t>Copywriter</t>
        </is>
      </c>
      <c r="E18" s="33" t="inlineStr">
        <is>
          <t>No</t>
        </is>
      </c>
      <c r="F18" s="33" t="inlineStr">
        <is>
          <t>About panel intro</t>
        </is>
      </c>
      <c r="G18" s="33" t="inlineStr">
        <is>
          <t>1–2 sentences</t>
        </is>
      </c>
    </row>
    <row r="19">
      <c r="A19" s="32" t="inlineStr">
        <is>
          <t>GIA report number</t>
        </is>
      </c>
      <c r="B19" s="33" t="inlineStr">
        <is>
          <t>Stones</t>
        </is>
      </c>
      <c r="C19" s="33" t="inlineStr">
        <is>
          <t>GIA report</t>
        </is>
      </c>
      <c r="D19" s="33" t="inlineStr">
        <is>
          <t>Data entry</t>
        </is>
      </c>
      <c r="E19" s="33" t="inlineStr">
        <is>
          <t>Yes</t>
        </is>
      </c>
      <c r="F19" s="33" t="inlineStr">
        <is>
          <t>Authenticated screen: 'GIA 7346554795'; must match laser inscription</t>
        </is>
      </c>
      <c r="G19" s="33" t="inlineStr">
        <is>
          <t>10 digits, entered as text</t>
        </is>
      </c>
    </row>
    <row r="20">
      <c r="A20" s="32" t="inlineStr">
        <is>
          <t>GIA report date</t>
        </is>
      </c>
      <c r="B20" s="33" t="inlineStr">
        <is>
          <t>Stones</t>
        </is>
      </c>
      <c r="C20" s="33" t="inlineStr">
        <is>
          <t>GIA report</t>
        </is>
      </c>
      <c r="D20" s="33" t="inlineStr">
        <is>
          <t>Data entry</t>
        </is>
      </c>
      <c r="E20" s="33" t="inlineStr">
        <is>
          <t>Yes</t>
        </is>
      </c>
      <c r="F20" s="33" t="inlineStr">
        <is>
          <t>GIA section</t>
        </is>
      </c>
      <c r="G20" s="33" t="inlineStr">
        <is>
          <t>YYYY-MM-DD</t>
        </is>
      </c>
    </row>
    <row r="21">
      <c r="A21" s="32" t="inlineStr">
        <is>
          <t>GIA status</t>
        </is>
      </c>
      <c r="B21" s="33" t="inlineStr">
        <is>
          <t>Stones</t>
        </is>
      </c>
      <c r="C21" s="33" t="inlineStr">
        <is>
          <t>GIA</t>
        </is>
      </c>
      <c r="D21" s="33" t="inlineStr">
        <is>
          <t>Data entry</t>
        </is>
      </c>
      <c r="E21" s="33" t="inlineStr">
        <is>
          <t>Yes</t>
        </is>
      </c>
      <c r="F21" s="33" t="inlineStr">
        <is>
          <t>GIA verified badge</t>
        </is>
      </c>
      <c r="G21" s="33" t="inlineStr">
        <is>
          <t>Verified / In progress</t>
        </is>
      </c>
    </row>
    <row r="22">
      <c r="A22" s="32" t="inlineStr">
        <is>
          <t>GIA report link</t>
        </is>
      </c>
      <c r="B22" s="33" t="inlineStr">
        <is>
          <t>Stones</t>
        </is>
      </c>
      <c r="C22" s="33" t="inlineStr">
        <is>
          <t>Auto — GIA Report Check</t>
        </is>
      </c>
      <c r="D22" s="33" t="inlineStr">
        <is>
          <t>Formula</t>
        </is>
      </c>
      <c r="E22" s="33" t="inlineStr">
        <is>
          <t>Auto</t>
        </is>
      </c>
      <c r="F22" s="33" t="inlineStr">
        <is>
          <t>'View GIA report' button</t>
        </is>
      </c>
      <c r="G22" s="33" t="inlineStr">
        <is>
          <t>Auto — links to GIA Report Check</t>
        </is>
      </c>
    </row>
    <row r="23">
      <c r="A23" s="32" t="inlineStr">
        <is>
          <t>Tracr ID</t>
        </is>
      </c>
      <c r="B23" s="33" t="inlineStr">
        <is>
          <t>Stones</t>
        </is>
      </c>
      <c r="C23" s="33" t="inlineStr">
        <is>
          <t>Tracr</t>
        </is>
      </c>
      <c r="D23" s="33" t="inlineStr">
        <is>
          <t>Data entry</t>
        </is>
      </c>
      <c r="E23" s="33" t="inlineStr">
        <is>
          <t>Yes</t>
        </is>
      </c>
      <c r="F23" s="33" t="inlineStr">
        <is>
          <t>Provenance section</t>
        </is>
      </c>
      <c r="G23" s="33" t="inlineStr">
        <is>
          <t>As issued by Tracr</t>
        </is>
      </c>
    </row>
    <row r="24">
      <c r="A24" s="32" t="inlineStr">
        <is>
          <t>Tracr status</t>
        </is>
      </c>
      <c r="B24" s="33" t="inlineStr">
        <is>
          <t>Stones</t>
        </is>
      </c>
      <c r="C24" s="33" t="inlineStr">
        <is>
          <t>Tracr</t>
        </is>
      </c>
      <c r="D24" s="33" t="inlineStr">
        <is>
          <t>Data entry</t>
        </is>
      </c>
      <c r="E24" s="33" t="inlineStr">
        <is>
          <t>Yes</t>
        </is>
      </c>
      <c r="F24" s="33" t="inlineStr">
        <is>
          <t>Provenance badge</t>
        </is>
      </c>
      <c r="G24" s="33" t="inlineStr">
        <is>
          <t>Verified / Pending verification</t>
        </is>
      </c>
    </row>
    <row r="25">
      <c r="A25" s="32" t="inlineStr">
        <is>
          <t>Mine</t>
        </is>
      </c>
      <c r="B25" s="33" t="inlineStr">
        <is>
          <t>Stones</t>
        </is>
      </c>
      <c r="C25" s="33" t="inlineStr">
        <is>
          <t>Tracr</t>
        </is>
      </c>
      <c r="D25" s="33" t="inlineStr">
        <is>
          <t>Data entry</t>
        </is>
      </c>
      <c r="E25" s="33" t="inlineStr">
        <is>
          <t>Yes</t>
        </is>
      </c>
      <c r="F25" s="33" t="inlineStr">
        <is>
          <t>About panel: 'Mine' field and story</t>
        </is>
      </c>
      <c r="G25" s="33" t="inlineStr">
        <is>
          <t>Orapa Mine</t>
        </is>
      </c>
    </row>
    <row r="26">
      <c r="A26" s="32" t="inlineStr">
        <is>
          <t>Country</t>
        </is>
      </c>
      <c r="B26" s="33" t="inlineStr">
        <is>
          <t>Stones</t>
        </is>
      </c>
      <c r="C26" s="33" t="inlineStr">
        <is>
          <t>Tracr</t>
        </is>
      </c>
      <c r="D26" s="33" t="inlineStr">
        <is>
          <t>Data entry</t>
        </is>
      </c>
      <c r="E26" s="33" t="inlineStr">
        <is>
          <t>Yes</t>
        </is>
      </c>
      <c r="F26" s="33" t="inlineStr">
        <is>
          <t>About panel: origin</t>
        </is>
      </c>
      <c r="G26" s="33" t="inlineStr">
        <is>
          <t>Botswana</t>
        </is>
      </c>
    </row>
    <row r="27">
      <c r="A27" s="32" t="inlineStr">
        <is>
          <t>Rough carat</t>
        </is>
      </c>
      <c r="B27" s="33" t="inlineStr">
        <is>
          <t>Stones</t>
        </is>
      </c>
      <c r="C27" s="33" t="inlineStr">
        <is>
          <t>Tracr</t>
        </is>
      </c>
      <c r="D27" s="33" t="inlineStr">
        <is>
          <t>Data entry</t>
        </is>
      </c>
      <c r="E27" s="33" t="inlineStr">
        <is>
          <t>No</t>
        </is>
      </c>
      <c r="F27" s="33" t="inlineStr">
        <is>
          <t>About panel: rough weight</t>
        </is>
      </c>
      <c r="G27" s="33" t="inlineStr">
        <is>
          <t>3.86 (number)</t>
        </is>
      </c>
    </row>
    <row r="28">
      <c r="A28" s="32" t="inlineStr">
        <is>
          <t>Formation age (bn yrs)</t>
        </is>
      </c>
      <c r="B28" s="33" t="inlineStr">
        <is>
          <t>Stones</t>
        </is>
      </c>
      <c r="C28" s="33" t="inlineStr">
        <is>
          <t>Mine geology — copywriter</t>
        </is>
      </c>
      <c r="D28" s="33" t="inlineStr">
        <is>
          <t>Copywriter</t>
        </is>
      </c>
      <c r="E28" s="33" t="inlineStr">
        <is>
          <t>No</t>
        </is>
      </c>
      <c r="F28" s="33" t="inlineStr">
        <is>
          <t>Story: formation figures</t>
        </is>
      </c>
      <c r="G28" s="33" t="inlineStr">
        <is>
          <t>2.9 — representative of the mine, not the stone</t>
        </is>
      </c>
    </row>
    <row r="29">
      <c r="A29" s="32" t="inlineStr">
        <is>
          <t>Formation depth (km)</t>
        </is>
      </c>
      <c r="B29" s="33" t="inlineStr">
        <is>
          <t>Stones</t>
        </is>
      </c>
      <c r="C29" s="33" t="inlineStr">
        <is>
          <t>Mine geology — copywriter</t>
        </is>
      </c>
      <c r="D29" s="33" t="inlineStr">
        <is>
          <t>Copywriter</t>
        </is>
      </c>
      <c r="E29" s="33" t="inlineStr">
        <is>
          <t>No</t>
        </is>
      </c>
      <c r="F29" s="33" t="inlineStr">
        <is>
          <t>Story: formation figures</t>
        </is>
      </c>
      <c r="G29" s="33" t="inlineStr">
        <is>
          <t>180</t>
        </is>
      </c>
    </row>
    <row r="30">
      <c r="A30" s="32" t="inlineStr">
        <is>
          <t>Formation temp (°C)</t>
        </is>
      </c>
      <c r="B30" s="33" t="inlineStr">
        <is>
          <t>Stones</t>
        </is>
      </c>
      <c r="C30" s="33" t="inlineStr">
        <is>
          <t>Mine geology — copywriter</t>
        </is>
      </c>
      <c r="D30" s="33" t="inlineStr">
        <is>
          <t>Copywriter</t>
        </is>
      </c>
      <c r="E30" s="33" t="inlineStr">
        <is>
          <t>No</t>
        </is>
      </c>
      <c r="F30" s="33" t="inlineStr">
        <is>
          <t>Story: formation figures</t>
        </is>
      </c>
      <c r="G30" s="33" t="inlineStr">
        <is>
          <t>1250</t>
        </is>
      </c>
    </row>
    <row r="31">
      <c r="A31" s="32" t="inlineStr">
        <is>
          <t>Formation pressure (atm)</t>
        </is>
      </c>
      <c r="B31" s="33" t="inlineStr">
        <is>
          <t>Stones</t>
        </is>
      </c>
      <c r="C31" s="33" t="inlineStr">
        <is>
          <t>Mine geology — copywriter</t>
        </is>
      </c>
      <c r="D31" s="33" t="inlineStr">
        <is>
          <t>Copywriter</t>
        </is>
      </c>
      <c r="E31" s="33" t="inlineStr">
        <is>
          <t>No</t>
        </is>
      </c>
      <c r="F31" s="33" t="inlineStr">
        <is>
          <t>Story: formation figures</t>
        </is>
      </c>
      <c r="G31" s="33" t="inlineStr">
        <is>
          <t>55000</t>
        </is>
      </c>
    </row>
    <row r="32">
      <c r="A32" s="32" t="inlineStr">
        <is>
          <t>Source paragraph 1</t>
        </is>
      </c>
      <c r="B32" s="33" t="inlineStr">
        <is>
          <t>Stones</t>
        </is>
      </c>
      <c r="C32" s="33" t="inlineStr">
        <is>
          <t>Copywriter (per mine)</t>
        </is>
      </c>
      <c r="D32" s="33" t="inlineStr">
        <is>
          <t>Copywriter</t>
        </is>
      </c>
      <c r="E32" s="33" t="inlineStr">
        <is>
          <t>No</t>
        </is>
      </c>
      <c r="F32" s="33" t="inlineStr">
        <is>
          <t>About panel: sourcing story</t>
        </is>
      </c>
      <c r="G32" s="33" t="inlineStr">
        <is>
          <t>Write once per mine; copy to every stone from it</t>
        </is>
      </c>
    </row>
    <row r="33">
      <c r="A33" s="32" t="inlineStr">
        <is>
          <t>Source paragraph 2</t>
        </is>
      </c>
      <c r="B33" s="33" t="inlineStr">
        <is>
          <t>Stones</t>
        </is>
      </c>
      <c r="C33" s="33" t="inlineStr">
        <is>
          <t>Copywriter (per mine)</t>
        </is>
      </c>
      <c r="D33" s="33" t="inlineStr">
        <is>
          <t>Copywriter</t>
        </is>
      </c>
      <c r="E33" s="33" t="inlineStr">
        <is>
          <t>No</t>
        </is>
      </c>
      <c r="F33" s="33" t="inlineStr">
        <is>
          <t>About panel: sourcing story</t>
        </is>
      </c>
      <c r="G33" s="33" t="inlineStr">
        <is>
          <t>Optional second paragraph</t>
        </is>
      </c>
    </row>
    <row r="34">
      <c r="A34" s="32" t="inlineStr">
        <is>
          <t>Custody steps</t>
        </is>
      </c>
      <c r="B34" s="33" t="inlineStr">
        <is>
          <t>Stones</t>
        </is>
      </c>
      <c r="C34" s="33" t="inlineStr">
        <is>
          <t>Auto — from Custody Chain tab</t>
        </is>
      </c>
      <c r="D34" s="33" t="inlineStr">
        <is>
          <t>Formula</t>
        </is>
      </c>
      <c r="E34" s="33" t="inlineStr">
        <is>
          <t>Auto</t>
        </is>
      </c>
      <c r="F34" s="33" t="inlineStr">
        <is>
          <t>Checks the Custody Chain tab has rows</t>
        </is>
      </c>
      <c r="G34" s="33" t="inlineStr">
        <is>
          <t>Auto</t>
        </is>
      </c>
    </row>
    <row r="35">
      <c r="A35" s="32" t="inlineStr">
        <is>
          <t>Photos</t>
        </is>
      </c>
      <c r="B35" s="33" t="inlineStr">
        <is>
          <t>Stones</t>
        </is>
      </c>
      <c r="C35" s="33" t="inlineStr">
        <is>
          <t>Auto — from Photos tab</t>
        </is>
      </c>
      <c r="D35" s="33" t="inlineStr">
        <is>
          <t>Formula</t>
        </is>
      </c>
      <c r="E35" s="33" t="inlineStr">
        <is>
          <t>Auto</t>
        </is>
      </c>
      <c r="F35" s="33" t="inlineStr">
        <is>
          <t>Checks the Photos tab has rows</t>
        </is>
      </c>
      <c r="G35" s="33" t="inlineStr">
        <is>
          <t>Auto — needs at least 3</t>
        </is>
      </c>
    </row>
    <row r="36">
      <c r="A36" s="32" t="inlineStr">
        <is>
          <t>Readiness</t>
        </is>
      </c>
      <c r="B36" s="33" t="inlineStr">
        <is>
          <t>Stones</t>
        </is>
      </c>
      <c r="C36" s="33" t="inlineStr">
        <is>
          <t>Auto</t>
        </is>
      </c>
      <c r="D36" s="33" t="inlineStr">
        <is>
          <t>Formula</t>
        </is>
      </c>
      <c r="E36" s="33" t="inlineStr">
        <is>
          <t>Auto</t>
        </is>
      </c>
      <c r="F36" s="33" t="inlineStr">
        <is>
          <t>Tells you what's still missing</t>
        </is>
      </c>
      <c r="G36" s="33" t="inlineStr">
        <is>
          <t>Auto</t>
        </is>
      </c>
    </row>
    <row r="37">
      <c r="A37" s="32" t="inlineStr">
        <is>
          <t>Stone ID / Step # / Stage / Location / Date</t>
        </is>
      </c>
      <c r="B37" s="33" t="inlineStr">
        <is>
          <t>Custody Chain</t>
        </is>
      </c>
      <c r="C37" s="33" t="inlineStr">
        <is>
          <t>Tracr</t>
        </is>
      </c>
      <c r="D37" s="33" t="inlineStr">
        <is>
          <t>Data entry</t>
        </is>
      </c>
      <c r="E37" s="33" t="inlineStr">
        <is>
          <t>Yes</t>
        </is>
      </c>
      <c r="F37" s="33" t="inlineStr">
        <is>
          <t>About panel: journey timeline (mine → cutter → GIA → store)</t>
        </is>
      </c>
      <c r="G37" s="33" t="inlineStr">
        <is>
          <t>One row per step; date YYYY-MM-DD</t>
        </is>
      </c>
    </row>
    <row r="38">
      <c r="A38" s="32" t="inlineStr">
        <is>
          <t>Level / File name / Hotspot / Alt text</t>
        </is>
      </c>
      <c r="B38" s="33" t="inlineStr">
        <is>
          <t>Photos</t>
        </is>
      </c>
      <c r="C38" s="33" t="inlineStr">
        <is>
          <t>GIA photography</t>
        </is>
      </c>
      <c r="D38" s="33" t="inlineStr">
        <is>
          <t>Team</t>
        </is>
      </c>
      <c r="E38" s="33" t="inlineStr">
        <is>
          <t>Yes (3 levels)</t>
        </is>
      </c>
      <c r="F38" s="33" t="inlineStr">
        <is>
          <t>Zoom-in stage and About panel thumbnail</t>
        </is>
      </c>
      <c r="G38" s="33" t="inlineStr">
        <is>
          <t>Hotspot = where the tap target sits on the photo, in % from left/top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29" t="inlineStr">
        <is>
          <t>Shape</t>
        </is>
      </c>
      <c r="B1" s="29" t="inlineStr">
        <is>
          <t>Cut / Polish / Symmetry</t>
        </is>
      </c>
      <c r="C1" s="29" t="inlineStr">
        <is>
          <t>Colour</t>
        </is>
      </c>
      <c r="D1" s="29" t="inlineStr">
        <is>
          <t>Clarity</t>
        </is>
      </c>
      <c r="E1" s="29" t="inlineStr">
        <is>
          <t>Fluorescence</t>
        </is>
      </c>
      <c r="F1" s="29" t="inlineStr">
        <is>
          <t>GIA status</t>
        </is>
      </c>
      <c r="G1" s="29" t="inlineStr">
        <is>
          <t>Tracr status</t>
        </is>
      </c>
      <c r="H1" s="29" t="inlineStr">
        <is>
          <t>Custody stage</t>
        </is>
      </c>
      <c r="I1" s="29" t="inlineStr">
        <is>
          <t>Photo level</t>
        </is>
      </c>
      <c r="J1" s="29" t="inlineStr">
        <is>
          <t>Publish</t>
        </is>
      </c>
    </row>
    <row r="2">
      <c r="A2" s="34" t="inlineStr">
        <is>
          <t>Round Brilliant</t>
        </is>
      </c>
      <c r="B2" s="34" t="inlineStr">
        <is>
          <t>Excellent</t>
        </is>
      </c>
      <c r="C2" s="34" t="inlineStr">
        <is>
          <t>D</t>
        </is>
      </c>
      <c r="D2" s="34" t="inlineStr">
        <is>
          <t>FL</t>
        </is>
      </c>
      <c r="E2" s="34" t="inlineStr">
        <is>
          <t>None</t>
        </is>
      </c>
      <c r="F2" s="34" t="inlineStr">
        <is>
          <t>Verified</t>
        </is>
      </c>
      <c r="G2" s="34" t="inlineStr">
        <is>
          <t>Verified</t>
        </is>
      </c>
      <c r="H2" s="34" t="inlineStr">
        <is>
          <t>Mined</t>
        </is>
      </c>
      <c r="I2" s="34" t="inlineStr">
        <is>
          <t>1 - Full view</t>
        </is>
      </c>
      <c r="J2" s="34" t="inlineStr">
        <is>
          <t>Draft</t>
        </is>
      </c>
    </row>
    <row r="3">
      <c r="A3" s="34" t="inlineStr">
        <is>
          <t>Oval</t>
        </is>
      </c>
      <c r="B3" s="34" t="inlineStr">
        <is>
          <t>Very Good</t>
        </is>
      </c>
      <c r="C3" s="34" t="inlineStr">
        <is>
          <t>E</t>
        </is>
      </c>
      <c r="D3" s="34" t="inlineStr">
        <is>
          <t>IF</t>
        </is>
      </c>
      <c r="E3" s="34" t="inlineStr">
        <is>
          <t>Faint</t>
        </is>
      </c>
      <c r="F3" s="34" t="inlineStr">
        <is>
          <t>In progress</t>
        </is>
      </c>
      <c r="G3" s="34" t="inlineStr">
        <is>
          <t>Pending verification</t>
        </is>
      </c>
      <c r="H3" s="34" t="inlineStr">
        <is>
          <t>Sorted &amp; Graded</t>
        </is>
      </c>
      <c r="I3" s="34" t="inlineStr">
        <is>
          <t>2 - Girdle close-up</t>
        </is>
      </c>
      <c r="J3" s="34" t="inlineStr">
        <is>
          <t>Ready to publish</t>
        </is>
      </c>
    </row>
    <row r="4">
      <c r="A4" s="34" t="inlineStr">
        <is>
          <t>Emerald Cut</t>
        </is>
      </c>
      <c r="B4" s="34" t="inlineStr">
        <is>
          <t>Good</t>
        </is>
      </c>
      <c r="C4" s="34" t="inlineStr">
        <is>
          <t>F</t>
        </is>
      </c>
      <c r="D4" s="34" t="inlineStr">
        <is>
          <t>VVS1</t>
        </is>
      </c>
      <c r="E4" s="34" t="inlineStr">
        <is>
          <t>Medium</t>
        </is>
      </c>
      <c r="H4" s="34" t="inlineStr">
        <is>
          <t>Cut &amp; Polished</t>
        </is>
      </c>
      <c r="I4" s="34" t="inlineStr">
        <is>
          <t>3 - Inscription</t>
        </is>
      </c>
      <c r="J4" s="34" t="inlineStr">
        <is>
          <t>Live</t>
        </is>
      </c>
    </row>
    <row r="5">
      <c r="A5" s="34" t="inlineStr">
        <is>
          <t>Cushion</t>
        </is>
      </c>
      <c r="B5" s="34" t="inlineStr">
        <is>
          <t>Fair</t>
        </is>
      </c>
      <c r="C5" s="34" t="inlineStr">
        <is>
          <t>G</t>
        </is>
      </c>
      <c r="D5" s="34" t="inlineStr">
        <is>
          <t>VVS2</t>
        </is>
      </c>
      <c r="E5" s="34" t="inlineStr">
        <is>
          <t>Strong</t>
        </is>
      </c>
      <c r="H5" s="34" t="inlineStr">
        <is>
          <t>Certified</t>
        </is>
      </c>
      <c r="I5" s="34" t="inlineStr">
        <is>
          <t>Thumbnail</t>
        </is>
      </c>
    </row>
    <row r="6">
      <c r="A6" s="34" t="inlineStr">
        <is>
          <t>Radiant Cut</t>
        </is>
      </c>
      <c r="B6" s="34" t="inlineStr">
        <is>
          <t>Poor</t>
        </is>
      </c>
      <c r="C6" s="34" t="inlineStr">
        <is>
          <t>H</t>
        </is>
      </c>
      <c r="D6" s="34" t="inlineStr">
        <is>
          <t>VS1</t>
        </is>
      </c>
      <c r="E6" s="34" t="inlineStr">
        <is>
          <t>Very Strong</t>
        </is>
      </c>
      <c r="H6" s="34" t="inlineStr">
        <is>
          <t>Delivered to Retailer</t>
        </is>
      </c>
    </row>
    <row r="7">
      <c r="A7" s="34" t="inlineStr">
        <is>
          <t>Princess</t>
        </is>
      </c>
      <c r="B7" s="34" t="inlineStr">
        <is>
          <t>N/A</t>
        </is>
      </c>
      <c r="C7" s="34" t="inlineStr">
        <is>
          <t>I</t>
        </is>
      </c>
      <c r="D7" s="34" t="inlineStr">
        <is>
          <t>VS2</t>
        </is>
      </c>
    </row>
    <row r="8">
      <c r="A8" s="34" t="inlineStr">
        <is>
          <t>Pear</t>
        </is>
      </c>
      <c r="C8" s="34" t="inlineStr">
        <is>
          <t>J</t>
        </is>
      </c>
      <c r="D8" s="34" t="inlineStr">
        <is>
          <t>SI1</t>
        </is>
      </c>
    </row>
    <row r="9">
      <c r="A9" s="34" t="inlineStr">
        <is>
          <t>Marquise</t>
        </is>
      </c>
      <c r="C9" s="34" t="inlineStr">
        <is>
          <t>K</t>
        </is>
      </c>
      <c r="D9" s="34" t="inlineStr">
        <is>
          <t>SI2</t>
        </is>
      </c>
    </row>
    <row r="10">
      <c r="A10" s="34" t="inlineStr">
        <is>
          <t>Asscher</t>
        </is>
      </c>
      <c r="C10" s="34" t="inlineStr">
        <is>
          <t>L</t>
        </is>
      </c>
      <c r="D10" s="34" t="inlineStr">
        <is>
          <t>I1</t>
        </is>
      </c>
    </row>
    <row r="11">
      <c r="A11" s="34" t="inlineStr">
        <is>
          <t>Heart</t>
        </is>
      </c>
      <c r="C11" s="34" t="inlineStr">
        <is>
          <t>M</t>
        </is>
      </c>
      <c r="D11" s="34" t="inlineStr">
        <is>
          <t>I2</t>
        </is>
      </c>
    </row>
    <row r="12">
      <c r="D12" s="34" t="inlineStr">
        <is>
          <t>I3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2026-09-29T19:53:30Z</dcterms:created>
  <dcterms:modified xmlns:dcterms="http://purl.org/dc/terms/" xmlns:xsi="http://www.w3.org/2001/XMLSchema-instance" xsi:type="dcterms:W3CDTF">2026-09-29T19:53:30Z</dcterms:modified>
</cp:coreProperties>
</file>